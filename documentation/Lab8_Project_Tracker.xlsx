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737" tabRatio="6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 Plan" sheetId="2" state="visible" r:id="rId2"/>
    <sheet xmlns:r="http://schemas.openxmlformats.org/officeDocument/2006/relationships" name="Daily Task Log" sheetId="3" state="visible" r:id="rId3"/>
    <sheet xmlns:r="http://schemas.openxmlformats.org/officeDocument/2006/relationships" name="Open Questions" sheetId="4" state="visible" r:id="rId4"/>
    <sheet xmlns:r="http://schemas.openxmlformats.org/officeDocument/2006/relationships" name="Stakeholder Meetings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Personas &amp; Journey" sheetId="7" state="visible" r:id="rId7"/>
    <sheet xmlns:r="http://schemas.openxmlformats.org/officeDocument/2006/relationships" name="Risks &amp; Issues" sheetId="8" state="visible" r:id="rId8"/>
    <sheet xmlns:r="http://schemas.openxmlformats.org/officeDocument/2006/relationships" name="Decisions" sheetId="9" state="visible" r:id="rId9"/>
    <sheet xmlns:r="http://schemas.openxmlformats.org/officeDocument/2006/relationships" name="Architecture Roadmap" sheetId="10" state="visible" r:id="rId10"/>
    <sheet xmlns:r="http://schemas.openxmlformats.org/officeDocument/2006/relationships" name="Research &amp; Data" sheetId="11" state="visible" r:id="rId11"/>
    <sheet xmlns:r="http://schemas.openxmlformats.org/officeDocument/2006/relationships" name="Handover Findings" sheetId="12" state="visible" r:id="rId12"/>
    <sheet xmlns:r="http://schemas.openxmlformats.org/officeDocument/2006/relationships" name="Timeline" sheetId="13" state="visible" r:id="rId13"/>
    <sheet xmlns:r="http://schemas.openxmlformats.org/officeDocument/2006/relationships" name="Benchmark" sheetId="14" state="visible" r:id="rId14"/>
    <sheet xmlns:r="http://schemas.openxmlformats.org/officeDocument/2006/relationships" name="Links" sheetId="15" state="visible" r:id="rId15"/>
  </sheets>
  <definedNames>
    <definedName name="_xlnm._FilterDatabase" localSheetId="1" hidden="1">'Project Plan'!$A$4:$Q$46</definedName>
    <definedName name="_xlnm._FilterDatabase" localSheetId="2" hidden="1">'Daily Task Log'!$A$4:$K$27</definedName>
    <definedName name="_xlnm._FilterDatabase" localSheetId="5" hidden="1">'Gap Analysis'!$A$4:$K$48</definedName>
    <definedName name="_xlnm._FilterDatabase" localSheetId="7" hidden="1">'Risks &amp; Issues'!$A$4:$K$26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d\ mmm\ 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Arial"/>
      <charset val="134"/>
      <b val="1"/>
      <color rgb="FF1F3A5F"/>
      <sz val="16"/>
    </font>
    <font>
      <name val="Arial"/>
      <charset val="134"/>
      <i val="1"/>
      <color rgb="FF595959"/>
      <sz val="10"/>
    </font>
    <font>
      <name val="Arial"/>
      <charset val="134"/>
      <b val="1"/>
      <color rgb="FFFFFFFF"/>
      <sz val="10"/>
    </font>
    <font>
      <name val="Arial"/>
      <charset val="134"/>
      <b val="1"/>
      <sz val="10"/>
    </font>
    <font>
      <name val="Arial"/>
      <charset val="134"/>
      <sz val="10"/>
    </font>
    <font>
      <name val="Arial"/>
      <charset val="134"/>
      <color rgb="FF0563C1"/>
      <sz val="10"/>
      <u val="single"/>
    </font>
    <font>
      <name val="Arial"/>
      <charset val="134"/>
      <b val="1"/>
      <color rgb="FF1F3A5F"/>
      <sz val="12"/>
    </font>
    <font>
      <name val="Arial"/>
      <charset val="134"/>
      <color rgb="FF0000FF"/>
      <sz val="10"/>
    </font>
    <font>
      <name val="Arial"/>
      <charset val="134"/>
      <i val="1"/>
      <color rgb="FF7F7F7F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C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49">
    <xf numFmtId="0" fontId="10" fillId="0" borderId="0"/>
    <xf numFmtId="165" fontId="10" fillId="0" borderId="0" applyAlignment="1">
      <alignment vertical="center"/>
    </xf>
    <xf numFmtId="166" fontId="10" fillId="0" borderId="0" applyAlignment="1">
      <alignment vertical="center"/>
    </xf>
    <xf numFmtId="9" fontId="10" fillId="0" borderId="0" applyAlignment="1">
      <alignment vertical="center"/>
    </xf>
    <xf numFmtId="167" fontId="10" fillId="0" borderId="0" applyAlignment="1">
      <alignment vertical="center"/>
    </xf>
    <xf numFmtId="168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5" borderId="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18" fillId="0" borderId="6" applyAlignment="1">
      <alignment vertical="center"/>
    </xf>
    <xf numFmtId="0" fontId="18" fillId="0" borderId="0" applyAlignment="1">
      <alignment vertical="center"/>
    </xf>
    <xf numFmtId="0" fontId="19" fillId="6" borderId="7" applyAlignment="1">
      <alignment vertical="center"/>
    </xf>
    <xf numFmtId="0" fontId="20" fillId="7" borderId="8" applyAlignment="1">
      <alignment vertical="center"/>
    </xf>
    <xf numFmtId="0" fontId="21" fillId="7" borderId="7" applyAlignment="1">
      <alignment vertical="center"/>
    </xf>
    <xf numFmtId="0" fontId="22" fillId="8" borderId="9" applyAlignment="1">
      <alignment vertical="center"/>
    </xf>
    <xf numFmtId="0" fontId="23" fillId="0" borderId="10" applyAlignment="1">
      <alignment vertical="center"/>
    </xf>
    <xf numFmtId="0" fontId="24" fillId="0" borderId="11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29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3" borderId="1" applyAlignment="1" pivotButton="0" quotePrefix="0" xfId="0">
      <alignment vertical="top" wrapText="1"/>
    </xf>
    <xf numFmtId="164" fontId="8" fillId="3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8" fillId="3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ont>
        <name val="Arial"/>
        <b val="1"/>
        <color rgb="FF595959"/>
      </font>
      <fill>
        <patternFill patternType="solid">
          <fgColor rgb="FFF2F2F2"/>
        </patternFill>
      </fill>
    </dxf>
    <dxf>
      <font>
        <name val="Arial"/>
        <b val="1"/>
        <color rgb="FF1F4E78"/>
      </font>
      <fill>
        <patternFill patternType="solid">
          <fgColor rgb="FFDDEBF7"/>
        </patternFill>
      </fill>
    </dxf>
    <dxf>
      <font>
        <name val="Arial"/>
        <b val="1"/>
        <color rgb="FF9C0006"/>
      </font>
      <fill>
        <patternFill patternType="solid">
          <fgColor rgb="FFFFC7CE"/>
        </patternFill>
      </fill>
    </dxf>
    <dxf>
      <font>
        <name val="Arial"/>
        <b val="1"/>
        <color rgb="FFC65911"/>
      </font>
      <fill>
        <patternFill patternType="solid">
          <fgColor rgb="FFFCE4D6"/>
        </patternFill>
      </fill>
    </dxf>
    <dxf>
      <font>
        <name val="Arial"/>
        <b val="1"/>
        <color rgb="FF9C5700"/>
      </font>
      <fill>
        <patternFill patternType="solid">
          <fgColor rgb="FFFFEB9C"/>
        </patternFill>
      </fill>
    </dxf>
    <dxf>
      <font>
        <name val="Arial"/>
        <b val="1"/>
        <color rgb="FF006100"/>
      </font>
      <fill>
        <patternFill patternType="solid">
          <fgColor rgb="FFC6EFCE"/>
        </patternFill>
      </fill>
    </dxf>
    <dxf>
      <font>
        <name val="Arial"/>
        <b val="1"/>
        <color rgb="FF7F7F7F"/>
      </font>
      <fill>
        <patternFill patternType="solid">
          <fgColor rgb="FFEDEDED"/>
        </patternFill>
      </fill>
    </dxf>
    <dxf>
      <font>
        <name val="Arial"/>
        <i val="1"/>
        <color rgb="FF7F7F7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ilp-ppl-dash-board.vercel.app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miro.com/app/board/uXjVHkBpPr8=/?moveToWidget=3458764684423775958&amp;cot=1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docs.google.com/document/d/1v6Cre0WwNMBg4qI6fbdkA3i5MbfkgVBU7zXhbe2Lhbs/edit" TargetMode="External" Id="rId1"/><Relationship Type="http://schemas.openxmlformats.org/officeDocument/2006/relationships/hyperlink" Target="https://docs.google.com/document/d/1pfcD4hJ0GjJB3gwQFjWYSFSs4loJoim6VinqQXQo2-U/edit" TargetMode="External" Id="rId2"/><Relationship Type="http://schemas.openxmlformats.org/officeDocument/2006/relationships/hyperlink" Target="https://docs.google.com/document/d/1ZvMTreERw_DFyEpnYKbw04bhLigSEC7Xy2iWUvch85w/edit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https://docs.google.com/document/d/1v6Cre0WwNMBg4qI6fbdkA3i5MbfkgVBU7zXhbe2Lhbs/edit" TargetMode="External" Id="rId1"/><Relationship Type="http://schemas.openxmlformats.org/officeDocument/2006/relationships/hyperlink" Target="https://claude.ai/artifact/Q1JmpLj6Ly9chiGP2sH4Ci" TargetMode="External" Id="rId2"/><Relationship Type="http://schemas.openxmlformats.org/officeDocument/2006/relationships/hyperlink" Target="https://docs.google.com/document/d/1pfcD4hJ0GjJB3gwQFjWYSFSs4loJoim6VinqQXQo2-U/edit" TargetMode="External" Id="rId3"/><Relationship Type="http://schemas.openxmlformats.org/officeDocument/2006/relationships/hyperlink" Target="https://claude.ai/artifact/LCXiykgu3MfPb5RYuyLAot" TargetMode="External" Id="rId4"/><Relationship Type="http://schemas.openxmlformats.org/officeDocument/2006/relationships/hyperlink" Target="https://docs.google.com/document/d/1ZvMTreERw_DFyEpnYKbw04bhLigSEC7Xy2iWUvch85w/edit" TargetMode="External" Id="rId5"/><Relationship Type="http://schemas.openxmlformats.org/officeDocument/2006/relationships/hyperlink" Target="https://claude.ai/artifact/6fQTYvkiB8Vs1X4xJcELT5" TargetMode="External" Id="rId6"/><Relationship Type="http://schemas.openxmlformats.org/officeDocument/2006/relationships/hyperlink" Target="https://drive.google.com/drive/folders/1oeOPC1I54kBNnrLfIscDCxiCLIUnoXIA" TargetMode="External" Id="rId7"/><Relationship Type="http://schemas.openxmlformats.org/officeDocument/2006/relationships/hyperlink" Target="https://miro.com/app/board/uXjVHkBpPr8=/?moveToWidget=3458764684423775958&amp;cot=14" TargetMode="External" Id="rId8"/><Relationship Type="http://schemas.openxmlformats.org/officeDocument/2006/relationships/hyperlink" Target="https://claude.ai/code/artifact/0afd68c0-d0c6-49d7-88bb-747af9c9cda7" TargetMode="External" Id="rId9"/><Relationship Type="http://schemas.openxmlformats.org/officeDocument/2006/relationships/hyperlink" Target="https://claude.ai/code/artifact/0a1fe036-50e3-4f5f-bd2a-e359dfa66f2b" TargetMode="External" Id="rId10"/><Relationship Type="http://schemas.openxmlformats.org/officeDocument/2006/relationships/hyperlink" Target="https://claude.ai/code/artifact/75c2af6d-f999-4d0c-8c72-7c6198994093" TargetMode="External" Id="rId11"/><Relationship Type="http://schemas.openxmlformats.org/officeDocument/2006/relationships/hyperlink" Target="https://ilp-ppl-dash-board.vercel.app/" TargetMode="External" Id="rId12"/><Relationship Type="http://schemas.openxmlformats.org/officeDocument/2006/relationships/hyperlink" Target="https://github.com/Gunamadarapu-ag/Product-Lifecycle-and-Portfolio-Intelligence" TargetMode="External" Id="rId13"/><Relationship Type="http://schemas.openxmlformats.org/officeDocument/2006/relationships/hyperlink" Target="https://github.com/acies-AmitaAnand/Product-Lifecycle-and-Portfolio-Intelligence" TargetMode="External" Id="rId14"/></Relationships>
</file>

<file path=xl/worksheets/sheet1.xml><?xml version="1.0" encoding="utf-8"?>
<worksheet xmlns="http://schemas.openxmlformats.org/spreadsheetml/2006/main">
  <sheetPr>
    <tabColor rgb="FF1F3A5F"/>
    <outlinePr summaryBelow="1" summaryRight="1"/>
    <pageSetUpPr/>
  </sheetPr>
  <dimension ref="A1:C76"/>
  <sheetViews>
    <sheetView showGridLines="0" workbookViewId="0">
      <selection activeCell="A1" sqref="A1"/>
    </sheetView>
  </sheetViews>
  <sheetFormatPr baseColWidth="8" defaultColWidth="9" defaultRowHeight="14.55"/>
  <cols>
    <col width="38" customWidth="1" min="1" max="1"/>
    <col width="96" customWidth="1" min="2" max="2"/>
    <col width="16" customWidth="1" min="3" max="3"/>
  </cols>
  <sheetData>
    <row r="1" ht="20.1" customHeight="1">
      <c r="A1" s="1" t="inlineStr">
        <is>
          <t>Lab 8 — Product Lifecycle &amp; Portfolio Intelligence</t>
        </is>
      </c>
    </row>
    <row r="2">
      <c r="A2" s="2" t="inlineStr">
        <is>
          <t>Merged project tracker · Figures on this tab are formulas and update as the other tabs change.</t>
        </is>
      </c>
    </row>
    <row r="4" ht="15.4" customHeight="1">
      <c r="A4" s="7" t="inlineStr">
        <is>
          <t>Project at a glance</t>
        </is>
      </c>
    </row>
    <row r="5">
      <c r="A5" s="4" t="inlineStr">
        <is>
          <t>Project</t>
        </is>
      </c>
      <c r="B5" s="5" t="inlineStr">
        <is>
          <t>Acies AgenticBus — Lab 8: Product Lifecycle &amp; Portfolio Intelligence</t>
        </is>
      </c>
    </row>
    <row r="6">
      <c r="A6" s="4" t="inlineStr">
        <is>
          <t>Purpose, as we understand it</t>
        </is>
      </c>
      <c r="B6" s="5" t="inlineStr">
        <is>
          <t>A GTM demo asset that opens VP-level conversations with FMCG companies. Awaiting confirmation — Q1.</t>
        </is>
      </c>
    </row>
    <row r="7" ht="24.85" customHeight="1">
      <c r="A7" s="4" t="inlineStr">
        <is>
          <t>Opening problem</t>
        </is>
      </c>
      <c r="B7" s="5" t="inlineStr">
        <is>
          <t>Slow decisions, poor product profitability visibility, missed rationalization opportunities, and disconnected market/customer signals.</t>
        </is>
      </c>
    </row>
    <row r="8">
      <c r="A8" s="4" t="inlineStr">
        <is>
          <t>Primary persona</t>
        </is>
      </c>
      <c r="B8" s="5" t="inlineStr">
        <is>
          <t>VP Product Management / VP Portfolio Strategy</t>
        </is>
      </c>
    </row>
    <row r="9">
      <c r="A9" s="4" t="inlineStr">
        <is>
          <t>Secondary personas</t>
        </is>
      </c>
      <c r="B9" s="5" t="inlineStr">
        <is>
          <t>Product Manager; Pricing &amp; Margin Partner</t>
        </is>
      </c>
    </row>
    <row r="10">
      <c r="A10" s="4" t="inlineStr">
        <is>
          <t>Previous team</t>
        </is>
      </c>
      <c r="B10" s="5" t="inlineStr">
        <is>
          <t>Amita, SreeVyshnavi, acies-Jai, Jaiadithya A — 369 commits, 18 May – 27 Jul 2026</t>
        </is>
      </c>
    </row>
    <row r="11">
      <c r="A11" s="4" t="inlineStr">
        <is>
          <t>Project start</t>
        </is>
      </c>
      <c r="B11" s="5" t="inlineStr">
        <is>
          <t>3 Sep 2026 (per team tracker)</t>
        </is>
      </c>
    </row>
    <row r="12">
      <c r="A12" s="4" t="inlineStr">
        <is>
          <t>Deadline</t>
        </is>
      </c>
      <c r="B12" s="5" t="inlineStr">
        <is>
          <t>Not set (confirmed 22 Sep). The team tracker's 20 working days from 3 Sep is a placeholder. See Q9.</t>
        </is>
      </c>
    </row>
    <row r="13">
      <c r="A13" s="4" t="inlineStr">
        <is>
          <t>Current team</t>
        </is>
      </c>
      <c r="B13" s="18" t="inlineStr">
        <is>
          <t>Guna</t>
        </is>
      </c>
    </row>
    <row r="14">
      <c r="A14" s="4" t="inlineStr">
        <is>
          <t>Programme owner</t>
        </is>
      </c>
      <c r="B14" s="10" t="n"/>
    </row>
    <row r="15">
      <c r="A15" s="4" t="inlineStr">
        <is>
          <t>Live demo</t>
        </is>
      </c>
      <c r="B15" s="6" t="inlineStr">
        <is>
          <t>ilp-ppl-dash-board.vercel.app</t>
        </is>
      </c>
    </row>
    <row r="16">
      <c r="A16" s="4" t="inlineStr">
        <is>
          <t>Tracker as of</t>
        </is>
      </c>
      <c r="B16" s="20">
        <f>TODAY()</f>
        <v/>
      </c>
    </row>
    <row r="18" ht="15.4" customHeight="1">
      <c r="A18" s="7" t="inlineStr">
        <is>
          <t>Scope (team's problem understanding)</t>
        </is>
      </c>
    </row>
    <row r="19" ht="24.85" customHeight="1">
      <c r="A19" s="4" t="inlineStr">
        <is>
          <t>In scope</t>
        </is>
      </c>
      <c r="B19" s="5" t="inlineStr">
        <is>
          <t>Portfolio health; launch readiness; product/SKU profitability; SKU rationalization; market/competitor/VoC signals; portfolio/product KPIs.</t>
        </is>
      </c>
    </row>
    <row r="20" ht="24.85" customHeight="1">
      <c r="A20" s="4" t="inlineStr">
        <is>
          <t>Out of scope</t>
        </is>
      </c>
      <c r="B20" s="5" t="inlineStr">
        <is>
          <t>Full PLM engineering system; CAD; R&amp;D/technical product development workflows; marketing campaign execution for launches.</t>
        </is>
      </c>
    </row>
    <row r="22" ht="15.4" customHeight="1">
      <c r="A22" s="7" t="inlineStr">
        <is>
          <t>Gates — earliest dates at planned durations</t>
        </is>
      </c>
    </row>
    <row r="23">
      <c r="A23" s="4" t="inlineStr">
        <is>
          <t>Gate 1 — End of SPS</t>
        </is>
      </c>
      <c r="B23" s="5">
        <f>'Project Plan'!$O$14</f>
        <v/>
      </c>
      <c r="C23" s="20">
        <f>'Project Plan'!$L$14</f>
        <v/>
      </c>
    </row>
    <row r="24">
      <c r="A24" s="4" t="inlineStr">
        <is>
          <t>Gate 2 — Solution design complete</t>
        </is>
      </c>
      <c r="B24" s="5">
        <f>'Project Plan'!$O$23</f>
        <v/>
      </c>
      <c r="C24" s="20">
        <f>'Project Plan'!$L$23</f>
        <v/>
      </c>
    </row>
    <row r="25" ht="24.85" customHeight="1">
      <c r="A25" s="4" t="inlineStr">
        <is>
          <t>Gate 3 — Functional prototype — five tabs without AI</t>
        </is>
      </c>
      <c r="B25" s="5">
        <f>'Project Plan'!$O$37</f>
        <v/>
      </c>
      <c r="C25" s="20">
        <f>'Project Plan'!$L$37</f>
        <v/>
      </c>
    </row>
    <row r="26">
      <c r="A26" s="4" t="inlineStr">
        <is>
          <t>Gate 4 — Final demo</t>
        </is>
      </c>
      <c r="B26" s="5">
        <f>'Project Plan'!$O$45</f>
        <v/>
      </c>
      <c r="C26" s="20">
        <f>'Project Plan'!$L$45</f>
        <v/>
      </c>
    </row>
    <row r="27">
      <c r="A27" s="4" t="inlineStr">
        <is>
          <t>Working days from today to Gate 4</t>
        </is>
      </c>
      <c r="B27" s="5">
        <f>IF(C26="","",NETWORKDAYS(TODAY(),C26))</f>
        <v/>
      </c>
    </row>
    <row r="29" ht="15.4" customHeight="1">
      <c r="A29" s="7" t="inlineStr">
        <is>
          <t>Status</t>
        </is>
      </c>
    </row>
    <row r="30">
      <c r="A30" s="4" t="inlineStr">
        <is>
          <t>Activities in plan</t>
        </is>
      </c>
      <c r="B30" s="5">
        <f>COUNTIF('Project Plan'!$C$5:$C$46,"Activity")</f>
        <v/>
      </c>
    </row>
    <row r="31">
      <c r="A31" s="4" t="inlineStr">
        <is>
          <t xml:space="preserve">   Done</t>
        </is>
      </c>
      <c r="B31" s="5">
        <f>COUNTIFS('Project Plan'!$C$5:$C$46,"Activity",'Project Plan'!$I$5:$I$46,"Done")</f>
        <v/>
      </c>
    </row>
    <row r="32">
      <c r="A32" s="4" t="inlineStr">
        <is>
          <t xml:space="preserve">   In progress</t>
        </is>
      </c>
      <c r="B32" s="5">
        <f>COUNTIFS('Project Plan'!$C$5:$C$46,"Activity",'Project Plan'!$I$5:$I$46,"In progress")</f>
        <v/>
      </c>
    </row>
    <row r="33">
      <c r="A33" s="4" t="inlineStr">
        <is>
          <t xml:space="preserve">   Rework needed</t>
        </is>
      </c>
      <c r="B33" s="5">
        <f>COUNTIFS('Project Plan'!$C$5:$C$46,"Activity",'Project Plan'!$I$5:$I$46,"Rework needed")</f>
        <v/>
      </c>
    </row>
    <row r="34">
      <c r="A34" s="4" t="inlineStr">
        <is>
          <t xml:space="preserve">   Not started</t>
        </is>
      </c>
      <c r="B34" s="5">
        <f>COUNTIFS('Project Plan'!$C$5:$C$46,"Activity",'Project Plan'!$I$5:$I$46,"Not started")</f>
        <v/>
      </c>
    </row>
    <row r="35">
      <c r="A35" s="4" t="inlineStr">
        <is>
          <t xml:space="preserve">   Blocked or at risk</t>
        </is>
      </c>
      <c r="B35" s="5">
        <f>COUNTIFS('Project Plan'!$C$5:$C$46,"Activity",'Project Plan'!$I$5:$I$46,"Blocked")+COUNTIFS('Project Plan'!$C$5:$C$46,"Activity",'Project Plan'!$I$5:$I$46,"At risk")</f>
        <v/>
      </c>
    </row>
    <row r="36" ht="24.85" customHeight="1">
      <c r="A36" s="4" t="inlineStr">
        <is>
          <t>Tab-rework activities still needing an estimate (3.2–3.6)</t>
        </is>
      </c>
      <c r="B36" s="5">
        <f>COUNTBLANK('Project Plan'!$J$29:$J$33)</f>
        <v/>
      </c>
    </row>
    <row r="37">
      <c r="A37" s="4" t="inlineStr">
        <is>
          <t>Activities with no owner yet</t>
        </is>
      </c>
      <c r="B37" s="5">
        <f>COUNTIFS('Project Plan'!$C$5:$C$46,"Activity",'Project Plan'!$H$5:$H$46,"")</f>
        <v/>
      </c>
    </row>
    <row r="38">
      <c r="A38" s="4" t="inlineStr">
        <is>
          <t>Open questions</t>
        </is>
      </c>
      <c r="B38" s="5">
        <f>COUNTIF('Open Questions'!$J$5:$J$19,"Open")</f>
        <v/>
      </c>
    </row>
    <row r="39">
      <c r="A39" s="4" t="inlineStr">
        <is>
          <t>Questions answered or defaulted</t>
        </is>
      </c>
      <c r="B39" s="5">
        <f>COUNTIF('Open Questions'!$J$5:$J$19,"Answered")+COUNTIF('Open Questions'!$J$5:$J$19,"Defaulted")</f>
        <v/>
      </c>
    </row>
    <row r="40">
      <c r="A40" s="4" t="inlineStr">
        <is>
          <t>High-severity risks and issues not closed</t>
        </is>
      </c>
      <c r="B40" s="5">
        <f>COUNTIFS('Risks &amp; Issues'!$G$5:$G$25,"High",'Risks &amp; Issues'!$K$5:$K$25,"&lt;&gt;Closed")</f>
        <v/>
      </c>
    </row>
    <row r="41">
      <c r="A41" s="4" t="inlineStr">
        <is>
          <t>Stakeholder meetings held</t>
        </is>
      </c>
      <c r="B41" s="5">
        <f>COUNTIF('Stakeholder Meetings'!$I$5:$I$12,"Held")&amp;" of "&amp;COUNTA('Stakeholder Meetings'!$A$5:$A$12)</f>
        <v/>
      </c>
    </row>
    <row r="42">
      <c r="A42" s="4" t="inlineStr">
        <is>
          <t>Gap-analysis items</t>
        </is>
      </c>
      <c r="B42" s="5">
        <f>COUNTA('Gap Analysis'!$A$5:$A$48)</f>
        <v/>
      </c>
    </row>
    <row r="44" ht="15.4" customHeight="1">
      <c r="A44" s="7" t="inlineStr">
        <is>
          <t>Headlines</t>
        </is>
      </c>
    </row>
    <row r="45" ht="24.85" customHeight="1">
      <c r="A45" s="4" t="inlineStr">
        <is>
          <t>•</t>
        </is>
      </c>
      <c r="B45" s="5" t="inlineStr">
        <is>
          <t>The database is live and reconciles to the source figures. The application does not read it yet — Backend (3.8) and Integration (3.9).</t>
        </is>
      </c>
    </row>
    <row r="46" ht="24.85" customHeight="1">
      <c r="A46" s="4" t="inlineStr">
        <is>
          <t>•</t>
        </is>
      </c>
      <c r="B46" s="5" t="inlineStr">
        <is>
          <t>The team's functional review found 44 gaps across Portfolio Health, Launch Readiness and cross-module flow — including a revenue figure about 22× too high, now confirmed as a bug.</t>
        </is>
      </c>
    </row>
    <row r="47">
      <c r="A47" s="4" t="inlineStr">
        <is>
          <t>•</t>
        </is>
      </c>
      <c r="B47" s="5" t="inlineStr">
        <is>
          <t>Five plans were in circulation. This tracker merges them; M8 should adopt it and retire the rest.</t>
        </is>
      </c>
    </row>
    <row r="48" ht="24.85" customHeight="1">
      <c r="A48" s="4" t="inlineStr">
        <is>
          <t>•</t>
        </is>
      </c>
      <c r="B48" s="5" t="inlineStr">
        <is>
          <t>No deadline is set. Gate 4 above is the earliest date at the plan's durations, and it is optimistic: tab rework (3.2–3.6) has no estimates yet.</t>
        </is>
      </c>
    </row>
    <row r="49">
      <c r="A49" s="4" t="inlineStr">
        <is>
          <t>•</t>
        </is>
      </c>
      <c r="B49" s="5" t="inlineStr">
        <is>
          <t>TODO.md (the dev-level tracker, separate from this Project Plan) stood at 30 Sep 2026: 12 of 17 tracked phases Done, 2 partly done, 2 open, 1 decided (~71%). By checkbox count 19/53 (~36%) — lower because most completed phases (schema, dataset generation, the database, branding) were logged as narrative/tables rather than checkboxes, while nearly all remaining open work is checkbox-tracked, so the checkbox ratio understates progress.</t>
        </is>
      </c>
    </row>
    <row r="50" ht="15.4" customHeight="1"/>
    <row r="51">
      <c r="A51" s="7" t="inlineStr">
        <is>
          <t>What this tracker replaces</t>
        </is>
      </c>
    </row>
    <row r="52">
      <c r="A52" s="4" t="inlineStr">
        <is>
          <t>•</t>
        </is>
      </c>
      <c r="B52" s="5" t="inlineStr">
        <is>
          <t>The 16-phase plan (screenshot) — including a 'Core CRM Modules' row that does not apply to this product.</t>
        </is>
      </c>
    </row>
    <row r="53">
      <c r="A53" s="4" t="inlineStr">
        <is>
          <t>•</t>
        </is>
      </c>
      <c r="B53" s="5" t="inlineStr">
        <is>
          <t>The team tracker's Project Tracker, Project Internal Tracker and Action Plan tabs — their content is merged here.</t>
        </is>
      </c>
    </row>
    <row r="54">
      <c r="A54" s="4" t="inlineStr">
        <is>
          <t>•</t>
        </is>
      </c>
      <c r="B54" s="5" t="inlineStr">
        <is>
          <t>The first version of this tracker.</t>
        </is>
      </c>
    </row>
    <row r="55" ht="15.4" customHeight="1"/>
    <row r="56" ht="24.85" customHeight="1">
      <c r="A56" s="7" t="inlineStr">
        <is>
          <t>Tabs</t>
        </is>
      </c>
    </row>
    <row r="57">
      <c r="A57" s="4" t="inlineStr">
        <is>
          <t>Project Plan</t>
        </is>
      </c>
      <c r="B57" s="5" t="inlineStr">
        <is>
          <t>P0–P4 with Gates 1–4. Owner, status, dates, dependencies, definition of done. Source column shows where each row came from.</t>
        </is>
      </c>
    </row>
    <row r="58">
      <c r="A58" s="4" t="inlineStr">
        <is>
          <t>Open Questions</t>
        </is>
      </c>
      <c r="B58" s="5" t="inlineStr">
        <is>
          <t>The 15 decisions we need, each with a recommendation and a default.</t>
        </is>
      </c>
    </row>
    <row r="59">
      <c r="A59" s="4" t="inlineStr">
        <is>
          <t>Stakeholder Meetings</t>
        </is>
      </c>
      <c r="B59" s="5" t="inlineStr">
        <is>
          <t>Meetings M1–M8 and the questions each settles.</t>
        </is>
      </c>
    </row>
    <row r="60">
      <c r="A60" s="4" t="inlineStr">
        <is>
          <t>Gap Analysis</t>
        </is>
      </c>
      <c r="B60" s="5" t="inlineStr">
        <is>
          <t>The team's 44 functional gaps, each mapped to a plan step.</t>
        </is>
      </c>
    </row>
    <row r="61">
      <c r="A61" s="4" t="inlineStr">
        <is>
          <t>Personas &amp; Journey</t>
        </is>
      </c>
      <c r="B61" s="5" t="inlineStr">
        <is>
          <t>Who needs what; current → future journey; the end-to-end decision journey.</t>
        </is>
      </c>
    </row>
    <row r="62">
      <c r="A62" s="4" t="inlineStr">
        <is>
          <t>Risks &amp; Issues</t>
        </is>
      </c>
      <c r="B62" s="5" t="inlineStr">
        <is>
          <t>What could go wrong or already has, with severity.</t>
        </is>
      </c>
    </row>
    <row r="63">
      <c r="A63" s="4" t="inlineStr">
        <is>
          <t>Decisions</t>
        </is>
      </c>
      <c r="B63" s="5" t="inlineStr">
        <is>
          <t>Decisions made, why, and when to revisit.</t>
        </is>
      </c>
    </row>
    <row r="64">
      <c r="A64" s="4" t="inlineStr">
        <is>
          <t>Architecture Roadmap</t>
        </is>
      </c>
      <c r="B64" s="5" t="inlineStr">
        <is>
          <t>How we get from today's architecture to the target.</t>
        </is>
      </c>
    </row>
    <row r="65">
      <c r="A65" s="4" t="inlineStr">
        <is>
          <t>Research &amp; Data</t>
        </is>
      </c>
      <c r="B65" s="5" t="inlineStr">
        <is>
          <t>Our research and the team's; the dataset we built and its gaps.</t>
        </is>
      </c>
    </row>
    <row r="66">
      <c r="A66" s="4" t="inlineStr">
        <is>
          <t>Handover Findings</t>
        </is>
      </c>
      <c r="B66" s="5" t="inlineStr">
        <is>
          <t>The condition of what we received — the reverse-KT agenda.</t>
        </is>
      </c>
    </row>
    <row r="67">
      <c r="A67" s="4" t="inlineStr">
        <is>
          <t>Timeline</t>
        </is>
      </c>
      <c r="B67" s="5" t="inlineStr">
        <is>
          <t>What happened and when.</t>
        </is>
      </c>
    </row>
    <row r="68">
      <c r="A68" s="4" t="inlineStr">
        <is>
          <t>Benchmark</t>
        </is>
      </c>
      <c r="B68" s="5" t="inlineStr">
        <is>
          <t>The team's PLM vendor comparison, with caveats.</t>
        </is>
      </c>
    </row>
    <row r="69">
      <c r="A69" s="4" t="inlineStr">
        <is>
          <t>Links</t>
        </is>
      </c>
      <c r="B69" s="5" t="inlineStr">
        <is>
          <t>Every document, repository and the live demo.</t>
        </is>
      </c>
    </row>
    <row r="70" ht="15.4" customHeight="1"/>
    <row r="71">
      <c r="A71" s="7" t="inlineStr">
        <is>
          <t>Legend</t>
        </is>
      </c>
    </row>
    <row r="72">
      <c r="A72" s="10" t="inlineStr">
        <is>
          <t>Light-yellow cell</t>
        </is>
      </c>
      <c r="B72" s="5" t="inlineStr">
        <is>
          <t>Please fill in or confirm — including role names to replace with people</t>
        </is>
      </c>
    </row>
    <row r="73">
      <c r="A73" s="14" t="inlineStr">
        <is>
          <t>Blue text</t>
        </is>
      </c>
      <c r="B73" s="5" t="inlineStr">
        <is>
          <t>Typed input — dates and durations you can change</t>
        </is>
      </c>
    </row>
    <row r="74">
      <c r="A74" s="5" t="inlineStr">
        <is>
          <t>Black text</t>
        </is>
      </c>
      <c r="B74" s="5" t="inlineStr">
        <is>
          <t>Formula or fixed text — do not overwrite formulas</t>
        </is>
      </c>
    </row>
    <row r="75">
      <c r="A75" s="19" t="inlineStr">
        <is>
          <t>Grey italic date</t>
        </is>
      </c>
      <c r="B75" s="5" t="inlineStr">
        <is>
          <t>Tentative — computed from durations; moves when an input changes</t>
        </is>
      </c>
    </row>
    <row r="76">
      <c r="A76" s="16" t="inlineStr">
        <is>
          <t>Shaded row</t>
        </is>
      </c>
      <c r="B76" s="5" t="inlineStr">
        <is>
          <t>A gate — its date is the latest end of the activities before it</t>
        </is>
      </c>
    </row>
  </sheetData>
  <hyperlinks>
    <hyperlink xmlns:r="http://schemas.openxmlformats.org/officeDocument/2006/relationships" ref="B15" display="ilp-ppl-dash-board.vercel.app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3A5F"/>
    <outlinePr summaryBelow="1" summaryRight="1"/>
    <pageSetUpPr/>
  </sheetPr>
  <dimension ref="A1:Q46"/>
  <sheetViews>
    <sheetView showGridLines="0" workbookViewId="0">
      <pane xSplit="4" ySplit="4" topLeftCell="E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5"/>
  <cols>
    <col width="6" customWidth="1" min="1" max="1"/>
    <col width="20" customWidth="1" min="2" max="2"/>
    <col width="8" customWidth="1" min="3" max="3"/>
    <col width="32" customWidth="1" min="4" max="4"/>
    <col width="17" customWidth="1" min="5" max="5"/>
    <col width="40" customWidth="1" min="6" max="6"/>
    <col width="36" customWidth="1" min="7" max="7"/>
    <col width="14" customWidth="1" min="8" max="8"/>
    <col width="15" customWidth="1" min="9" max="9"/>
    <col width="7" customWidth="1" min="10" max="10"/>
    <col width="12" customWidth="1" min="11" max="12"/>
    <col width="22" customWidth="1" min="13" max="13"/>
    <col width="12" customWidth="1" min="14" max="14"/>
    <col width="36" customWidth="1" min="15" max="15"/>
    <col width="52" customWidth="1" min="16" max="16"/>
    <col width="20" customWidth="1" min="17" max="17"/>
  </cols>
  <sheetData>
    <row r="1" ht="20.1" customHeight="1">
      <c r="A1" s="1" t="inlineStr">
        <is>
          <t>Project Plan — merged</t>
        </is>
      </c>
    </row>
    <row r="2">
      <c r="A2" s="2" t="inlineStr">
        <is>
          <t>Backbone: the team tracker's P1–P4 phases and Gates 1–4. Our workstreams merged in and marked by source. Blue = typed input · black = formula · light yellow = please fill in · grey italic = tentative date.</t>
        </is>
      </c>
    </row>
    <row r="4" ht="37.3" customHeight="1">
      <c r="A4" s="3" t="inlineStr">
        <is>
          <t>ID</t>
        </is>
      </c>
      <c r="B4" s="3" t="inlineStr">
        <is>
          <t>Phase</t>
        </is>
      </c>
      <c r="C4" s="3" t="inlineStr">
        <is>
          <t>Type</t>
        </is>
      </c>
      <c r="D4" s="3" t="inlineStr">
        <is>
          <t>Activity</t>
        </is>
      </c>
      <c r="E4" s="3" t="inlineStr">
        <is>
          <t>Source</t>
        </is>
      </c>
      <c r="F4" s="3" t="inlineStr">
        <is>
          <t>Objective</t>
        </is>
      </c>
      <c r="G4" s="3" t="inlineStr">
        <is>
          <t>Key question</t>
        </is>
      </c>
      <c r="H4" s="3" t="inlineStr">
        <is>
          <t>Owner</t>
        </is>
      </c>
      <c r="I4" s="3" t="inlineStr">
        <is>
          <t>Status</t>
        </is>
      </c>
      <c r="J4" s="3" t="inlineStr">
        <is>
          <t>Days (working)</t>
        </is>
      </c>
      <c r="K4" s="3" t="inlineStr">
        <is>
          <t>Start</t>
        </is>
      </c>
      <c r="L4" s="3" t="inlineStr">
        <is>
          <t>End</t>
        </is>
      </c>
      <c r="M4" s="3" t="inlineStr">
        <is>
          <t>Date basis</t>
        </is>
      </c>
      <c r="N4" s="3" t="inlineStr">
        <is>
          <t>Depends on</t>
        </is>
      </c>
      <c r="O4" s="3" t="inlineStr">
        <is>
          <t>Expected outcome / definition of done</t>
        </is>
      </c>
      <c r="P4" s="3" t="inlineStr">
        <is>
          <t>Where it actually stands</t>
        </is>
      </c>
      <c r="Q4" s="3" t="inlineStr">
        <is>
          <t>Evidence</t>
        </is>
      </c>
    </row>
    <row r="5" ht="37.3" customHeight="1">
      <c r="A5" s="4" t="inlineStr">
        <is>
          <t>0.1</t>
        </is>
      </c>
      <c r="B5" s="5" t="inlineStr">
        <is>
          <t>P0 · Handover &amp; remediation</t>
        </is>
      </c>
      <c r="C5" s="5" t="inlineStr">
        <is>
          <t>Activity</t>
        </is>
      </c>
      <c r="D5" s="4" t="inlineStr">
        <is>
          <t>Knowledge transfer (KT) and reverse KT</t>
        </is>
      </c>
      <c r="E5" s="5" t="inlineStr">
        <is>
          <t>Original 16-phase plan</t>
        </is>
      </c>
      <c r="F5" s="5" t="inlineStr">
        <is>
          <t>Receive the existing application from the previous team, then play our understanding back.</t>
        </is>
      </c>
      <c r="G5" s="5" t="inlineStr">
        <is>
          <t>Have we understood the product, its data and its personas the way the previous team intended?</t>
        </is>
      </c>
      <c r="H5" s="10" t="n"/>
      <c r="I5" s="5" t="inlineStr">
        <is>
          <t>In progress</t>
        </is>
      </c>
      <c r="J5" s="14" t="n">
        <v>5</v>
      </c>
      <c r="K5" s="21" t="n"/>
      <c r="L5" s="20">
        <f>IF(OR(K5="",J5=""),"",WORKDAY(K5,J5-1))</f>
        <v/>
      </c>
      <c r="M5" s="5" t="inlineStr">
        <is>
          <t>To confirm</t>
        </is>
      </c>
      <c r="N5" s="5" t="inlineStr">
        <is>
          <t>—</t>
        </is>
      </c>
      <c r="O5" s="5" t="inlineStr">
        <is>
          <t>RKT held; previous team confirms our understanding; handover gaps logged.</t>
        </is>
      </c>
      <c r="P5" s="5" t="inlineStr">
        <is>
          <t>KT completed before the first commit on 1 Sep. RKT not yet held — Handover Findings is its agenda (meeting M5).</t>
        </is>
      </c>
      <c r="Q5" s="5" t="inlineStr">
        <is>
          <t>Handover Findings tab</t>
        </is>
      </c>
    </row>
    <row r="6" ht="37.3" customHeight="1">
      <c r="A6" s="4" t="inlineStr">
        <is>
          <t>0.2</t>
        </is>
      </c>
      <c r="B6" s="5" t="inlineStr">
        <is>
          <t>P0 · Handover &amp; remediation</t>
        </is>
      </c>
      <c r="C6" s="5" t="inlineStr">
        <is>
          <t>Activity</t>
        </is>
      </c>
      <c r="D6" s="4" t="inlineStr">
        <is>
          <t>Codebase remediation</t>
        </is>
      </c>
      <c r="E6" s="5" t="inlineStr">
        <is>
          <t>Added</t>
        </is>
      </c>
      <c r="F6" s="5" t="inlineStr">
        <is>
          <t>Make the inherited code safe to change before building on it.</t>
        </is>
      </c>
      <c r="G6" s="5" t="inlineStr">
        <is>
          <t>Can we change the code without breaking what already works?</t>
        </is>
      </c>
      <c r="H6" s="5" t="inlineStr">
        <is>
          <t>Guna</t>
        </is>
      </c>
      <c r="I6" s="5" t="inlineStr">
        <is>
          <t>Done</t>
        </is>
      </c>
      <c r="J6" s="5">
        <f>IF(OR(K6="",L6=""),"",NETWORKDAYS(K6,L6))</f>
        <v/>
      </c>
      <c r="K6" s="22" t="n">
        <v>46266</v>
      </c>
      <c r="L6" s="22" t="n">
        <v>46285</v>
      </c>
      <c r="M6" s="5" t="inlineStr">
        <is>
          <t>Actual (git)</t>
        </is>
      </c>
      <c r="N6" s="5" t="inlineStr">
        <is>
          <t>0.1</t>
        </is>
      </c>
      <c r="O6" s="5" t="inlineStr">
        <is>
          <t>Type check and build clean; 27/27 smoke; no debris in the repository root.</t>
        </is>
      </c>
      <c r="P6" s="5" t="inlineStr">
        <is>
          <t>187 files removed; nine files of 22,619 lines split into 30 modules (−47%); 1,237 invalid colour classes fixed; dead Express server and 124 unused npm packages removed.</t>
        </is>
      </c>
      <c r="Q6" s="5" t="inlineStr">
        <is>
          <t>Commits 1–20 Sep; TODO.md</t>
        </is>
      </c>
    </row>
    <row r="7" ht="37.3" customHeight="1">
      <c r="A7" s="4" t="inlineStr">
        <is>
          <t>1.1</t>
        </is>
      </c>
      <c r="B7" s="5" t="inlineStr">
        <is>
          <t>P1 · Business Understanding &amp; SPS</t>
        </is>
      </c>
      <c r="C7" s="5" t="inlineStr">
        <is>
          <t>Activity</t>
        </is>
      </c>
      <c r="D7" s="4" t="inlineStr">
        <is>
          <t>Understand current problem statement</t>
        </is>
      </c>
      <c r="E7" s="5" t="inlineStr">
        <is>
          <t>Team tracker</t>
        </is>
      </c>
      <c r="F7" s="5" t="inlineStr">
        <is>
          <t>Understand the business problem, scope, personas, expected outcomes and terminology in the brief.</t>
        </is>
      </c>
      <c r="G7" s="5" t="inlineStr">
        <is>
          <t>What problem are we solving? Who is affected? What is explicitly in/out of scope?</t>
        </is>
      </c>
      <c r="H7" s="10" t="inlineStr">
        <is>
          <t>Team Lead</t>
        </is>
      </c>
      <c r="I7" s="5" t="inlineStr">
        <is>
          <t>In progress</t>
        </is>
      </c>
      <c r="J7" s="5">
        <f>IF(OR(K7="",L7=""),"",NETWORKDAYS(K7,L7))</f>
        <v/>
      </c>
      <c r="K7" s="22" t="n">
        <v>46268</v>
      </c>
      <c r="L7" s="20">
        <f>L13</f>
        <v/>
      </c>
      <c r="M7" s="5" t="inlineStr">
        <is>
          <t>Start per team tracker; ends at stakeholder sign-off</t>
        </is>
      </c>
      <c r="N7" s="5" t="inlineStr">
        <is>
          <t>—</t>
        </is>
      </c>
      <c r="O7" s="5" t="inlineStr">
        <is>
          <t>Initial problem understanding; agreed terminology; open questions</t>
        </is>
      </c>
      <c r="P7" s="5" t="inlineStr">
        <is>
          <t>Problem, personas and scope written up (Overview → Scope). Four problem areas still need ranking — Q14.</t>
        </is>
      </c>
      <c r="Q7" s="5" t="inlineStr">
        <is>
          <t>Team tracker; pitch.md</t>
        </is>
      </c>
    </row>
    <row r="8" ht="37.3" customHeight="1">
      <c r="A8" s="4" t="inlineStr">
        <is>
          <t>1.2</t>
        </is>
      </c>
      <c r="B8" s="5" t="inlineStr">
        <is>
          <t>P1 · Business Understanding &amp; SPS</t>
        </is>
      </c>
      <c r="C8" s="5" t="inlineStr">
        <is>
          <t>Activity</t>
        </is>
      </c>
      <c r="D8" s="4" t="inlineStr">
        <is>
          <t>Map current-state problem</t>
        </is>
      </c>
      <c r="E8" s="5" t="inlineStr">
        <is>
          <t>Team tracker</t>
        </is>
      </c>
      <c r="F8" s="5" t="inlineStr">
        <is>
          <t>Translate the stated problem into a current-state process and identify where delays/manual work occur.</t>
        </is>
      </c>
      <c r="G8" s="5" t="inlineStr">
        <is>
          <t>Where does data come from? Where are decisions delayed? Where are workarounds used?</t>
        </is>
      </c>
      <c r="H8" s="10" t="inlineStr">
        <is>
          <t>Business Analyst</t>
        </is>
      </c>
      <c r="I8" s="5" t="inlineStr">
        <is>
          <t>In progress</t>
        </is>
      </c>
      <c r="J8" s="5">
        <f>IF(OR(K8="",L8=""),"",NETWORKDAYS(K8,L8))</f>
        <v/>
      </c>
      <c r="K8" s="21" t="n"/>
      <c r="L8" s="20">
        <f>L13</f>
        <v/>
      </c>
      <c r="M8" s="5" t="inlineStr">
        <is>
          <t>Tentative — ends at stakeholder sign-off</t>
        </is>
      </c>
      <c r="N8" s="5" t="inlineStr">
        <is>
          <t>—</t>
        </is>
      </c>
      <c r="O8" s="5" t="inlineStr">
        <is>
          <t>As-Is process map + pain-point map</t>
        </is>
      </c>
      <c r="P8" s="5" t="inlineStr">
        <is>
          <t>Current → future decision journey drafted, plus an end-to-end journey in Miro. Pain points listed but not yet validated.</t>
        </is>
      </c>
      <c r="Q8" s="5" t="inlineStr">
        <is>
          <t>Personas &amp; Journey tab</t>
        </is>
      </c>
    </row>
    <row r="9" ht="87" customHeight="1">
      <c r="A9" s="4" t="inlineStr">
        <is>
          <t>1.3</t>
        </is>
      </c>
      <c r="B9" s="5" t="inlineStr">
        <is>
          <t>P1 · Business Understanding &amp; SPS</t>
        </is>
      </c>
      <c r="C9" s="5" t="inlineStr">
        <is>
          <t>Activity</t>
        </is>
      </c>
      <c r="D9" s="4" t="inlineStr">
        <is>
          <t>Identify and validate personas</t>
        </is>
      </c>
      <c r="E9" s="5" t="inlineStr">
        <is>
          <t>Team tracker</t>
        </is>
      </c>
      <c r="F9" s="5" t="inlineStr">
        <is>
          <t>Understand the needs of VP Product Management, Product Manager and Pricing/Margin Partner.</t>
        </is>
      </c>
      <c r="G9" s="5" t="inlineStr">
        <is>
          <t>What does each persona decide? What information does each need?</t>
        </is>
      </c>
      <c r="H9" s="10" t="inlineStr">
        <is>
          <t>Business Analyst</t>
        </is>
      </c>
      <c r="I9" s="5" t="inlineStr">
        <is>
          <t>Done</t>
        </is>
      </c>
      <c r="J9" s="5">
        <f>IF(OR(K9="",L9=""),"",NETWORKDAYS(K9,L9))</f>
        <v/>
      </c>
      <c r="K9" s="21" t="n"/>
      <c r="L9" s="20">
        <f>L13</f>
        <v/>
      </c>
      <c r="M9" s="5" t="inlineStr">
        <is>
          <t>Tentative — ends at stakeholder sign-off</t>
        </is>
      </c>
      <c r="N9" s="5" t="inlineStr">
        <is>
          <t>1.7</t>
        </is>
      </c>
      <c r="O9" s="5" t="inlineStr">
        <is>
          <t>Persona + decision + KPI matrix</t>
        </is>
      </c>
      <c r="P9" s="5" t="inlineStr">
        <is>
          <t>Persona x capability matrix validated at the code level: a tab-by-tab audit ('Nine Tabs, Zero Backend', 23 Sep) confirmed only the VP has a dedicated view anywhere, and found Product Manager -- marked primary on Launch Readiness -- is silently routed into the VP's own screen. A working prototype now reorders the sidebar per role from this same matrix, verified on all three roles. Both are evidence for M3, not yet signed off (Q7).</t>
        </is>
      </c>
      <c r="Q9" s="5" t="inlineStr">
        <is>
          <t>Personas &amp; Journey tab; Report 2</t>
        </is>
      </c>
    </row>
    <row r="10" ht="49.7" customHeight="1">
      <c r="A10" s="4" t="inlineStr">
        <is>
          <t>1.4</t>
        </is>
      </c>
      <c r="B10" s="5" t="inlineStr">
        <is>
          <t>P1 · Business Understanding &amp; SPS</t>
        </is>
      </c>
      <c r="C10" s="5" t="inlineStr">
        <is>
          <t>Activity</t>
        </is>
      </c>
      <c r="D10" s="4" t="inlineStr">
        <is>
          <t>Build diagnostic issue tree</t>
        </is>
      </c>
      <c r="E10" s="5" t="inlineStr">
        <is>
          <t>Team tracker</t>
        </is>
      </c>
      <c r="F10" s="5" t="inlineStr">
        <is>
          <t>Break the broad portfolio problem into measurable problem areas and hypotheses.</t>
        </is>
      </c>
      <c r="G10" s="5" t="inlineStr">
        <is>
          <t>What are the possible root causes behind slow launches, poor profitability, rationalization gaps and disconnected signals?</t>
        </is>
      </c>
      <c r="H10" s="10" t="inlineStr">
        <is>
          <t>Business Analyst</t>
        </is>
      </c>
      <c r="I10" s="5" t="inlineStr">
        <is>
          <t>Not started</t>
        </is>
      </c>
      <c r="J10" s="14" t="n">
        <v>2</v>
      </c>
      <c r="K10" s="22" t="n">
        <v>46288</v>
      </c>
      <c r="L10" s="20">
        <f>IF(OR(K10="",J10=""),"",WORKDAY(K10,J10-1))</f>
        <v/>
      </c>
      <c r="M10" s="5" t="inlineStr">
        <is>
          <t>Tentative — our estimate</t>
        </is>
      </c>
      <c r="N10" s="5" t="inlineStr">
        <is>
          <t>—</t>
        </is>
      </c>
      <c r="O10" s="5" t="inlineStr">
        <is>
          <t>Issue tree + hypotheses</t>
        </is>
      </c>
      <c r="P10" s="5" t="inlineStr">
        <is>
          <t>Not started. Handover Findings covers code-level causes; business root causes are still hypotheses.</t>
        </is>
      </c>
      <c r="Q10" s="5" t="inlineStr">
        <is>
          <t>—</t>
        </is>
      </c>
    </row>
    <row r="11" ht="37.3" customHeight="1">
      <c r="A11" s="4" t="inlineStr">
        <is>
          <t>1.5</t>
        </is>
      </c>
      <c r="B11" s="5" t="inlineStr">
        <is>
          <t>P1 · Business Understanding &amp; SPS</t>
        </is>
      </c>
      <c r="C11" s="5" t="inlineStr">
        <is>
          <t>Activity</t>
        </is>
      </c>
      <c r="D11" s="4" t="inlineStr">
        <is>
          <t>Secondary research</t>
        </is>
      </c>
      <c r="E11" s="5" t="inlineStr">
        <is>
          <t>Team tracker</t>
        </is>
      </c>
      <c r="F11" s="5" t="inlineStr">
        <is>
          <t>Research portfolio management, SKU rationalization, launch readiness, profitability and AI applications.</t>
        </is>
      </c>
      <c r="G11" s="5" t="inlineStr">
        <is>
          <t>What industry practices and benchmarks can validate/refine the problem?</t>
        </is>
      </c>
      <c r="H11" s="10" t="inlineStr">
        <is>
          <t>Research Owner</t>
        </is>
      </c>
      <c r="I11" s="5" t="inlineStr">
        <is>
          <t>Done</t>
        </is>
      </c>
      <c r="J11" s="5">
        <f>IF(OR(K11="",L11=""),"",NETWORKDAYS(K11,L11))</f>
        <v/>
      </c>
      <c r="K11" s="21" t="n"/>
      <c r="L11" s="22" t="n">
        <v>46282</v>
      </c>
      <c r="M11" s="5" t="inlineStr">
        <is>
          <t>Actual end</t>
        </is>
      </c>
      <c r="N11" s="5" t="inlineStr">
        <is>
          <t>—</t>
        </is>
      </c>
      <c r="O11" s="5" t="inlineStr">
        <is>
          <t>Research notes + evidence</t>
        </is>
      </c>
      <c r="P11" s="5" t="inlineStr">
        <is>
          <t>Report 3 (FMCG intelligence vendors) and the team's PLM benchmark cover it between them.</t>
        </is>
      </c>
      <c r="Q11" s="5" t="inlineStr">
        <is>
          <t>Report 3; Benchmark tab</t>
        </is>
      </c>
    </row>
    <row r="12" ht="24.85" customHeight="1">
      <c r="A12" s="4" t="inlineStr">
        <is>
          <t>1.6</t>
        </is>
      </c>
      <c r="B12" s="5" t="inlineStr">
        <is>
          <t>P1 · Business Understanding &amp; SPS</t>
        </is>
      </c>
      <c r="C12" s="5" t="inlineStr">
        <is>
          <t>Activity</t>
        </is>
      </c>
      <c r="D12" s="4" t="inlineStr">
        <is>
          <t>SPS synthesis</t>
        </is>
      </c>
      <c r="E12" s="5" t="inlineStr">
        <is>
          <t>Team tracker</t>
        </is>
      </c>
      <c r="F12" s="5" t="inlineStr">
        <is>
          <t>Convert research and stakeholder findings into an evidence-backed problem statement.</t>
        </is>
      </c>
      <c r="G12" s="5" t="inlineStr">
        <is>
          <t>What is the specific root cause? Which pain point is most important?</t>
        </is>
      </c>
      <c r="H12" s="10" t="inlineStr">
        <is>
          <t>Team Lead</t>
        </is>
      </c>
      <c r="I12" s="5" t="inlineStr">
        <is>
          <t>Not started</t>
        </is>
      </c>
      <c r="J12" s="14" t="n">
        <v>1</v>
      </c>
      <c r="K12" s="20">
        <f>WORKDAY(MAX(L10,L13),1)</f>
        <v/>
      </c>
      <c r="L12" s="20">
        <f>IF(OR(K12="",J12=""),"",WORKDAY(K12,J12-1))</f>
        <v/>
      </c>
      <c r="M12" s="5" t="inlineStr">
        <is>
          <t>Tentative — our estimate</t>
        </is>
      </c>
      <c r="N12" s="5" t="inlineStr">
        <is>
          <t>1.4, 1.7</t>
        </is>
      </c>
      <c r="O12" s="5" t="inlineStr">
        <is>
          <t>SPS findings + validated problem statement</t>
        </is>
      </c>
      <c r="P12" s="5" t="inlineStr">
        <is>
          <t>Waits on stakeholder answers.</t>
        </is>
      </c>
      <c r="Q12" s="5" t="inlineStr">
        <is>
          <t>—</t>
        </is>
      </c>
    </row>
    <row r="13" ht="24.85" customHeight="1">
      <c r="A13" s="4" t="inlineStr">
        <is>
          <t>1.7</t>
        </is>
      </c>
      <c r="B13" s="5" t="inlineStr">
        <is>
          <t>P1 · Business Understanding &amp; SPS</t>
        </is>
      </c>
      <c r="C13" s="5" t="inlineStr">
        <is>
          <t>Activity</t>
        </is>
      </c>
      <c r="D13" s="4" t="inlineStr">
        <is>
          <t>Stakeholder alignment on scope (M1–M4)</t>
        </is>
      </c>
      <c r="E13" s="5" t="inlineStr">
        <is>
          <t>Added</t>
        </is>
      </c>
      <c r="F13" s="5" t="inlineStr">
        <is>
          <t>Settle scope, metrics, tabs and delivery with the people who own them.</t>
        </is>
      </c>
      <c r="G13" s="5" t="inlineStr">
        <is>
          <t>Is this a demo asset or a product, and what does the brief really require?</t>
        </is>
      </c>
      <c r="H13" s="10" t="n"/>
      <c r="I13" s="5" t="inlineStr">
        <is>
          <t>Not started</t>
        </is>
      </c>
      <c r="J13" s="14" t="n">
        <v>4</v>
      </c>
      <c r="K13" s="22" t="n">
        <v>46288</v>
      </c>
      <c r="L13" s="20">
        <f>IF(OR(K13="",J13=""),"",WORKDAY(K13,J13-1))</f>
        <v/>
      </c>
      <c r="M13" s="5" t="inlineStr">
        <is>
          <t>Tentative</t>
        </is>
      </c>
      <c r="N13" s="5" t="inlineStr">
        <is>
          <t>—</t>
        </is>
      </c>
      <c r="O13" s="5" t="inlineStr">
        <is>
          <t>M1–M4 held; every open question answered or defaulted.</t>
        </is>
      </c>
      <c r="P13" s="5" t="inlineStr">
        <is>
          <t>Not yet scheduled. Every tentative date after this row assumes it finishes on the date shown.</t>
        </is>
      </c>
      <c r="Q13" s="5" t="inlineStr">
        <is>
          <t>Stakeholder Meetings tab</t>
        </is>
      </c>
    </row>
    <row r="14" ht="24.85" customHeight="1">
      <c r="A14" s="15" t="inlineStr">
        <is>
          <t>G1</t>
        </is>
      </c>
      <c r="B14" s="16" t="inlineStr">
        <is>
          <t>P1 · Business Understanding &amp; SPS</t>
        </is>
      </c>
      <c r="C14" s="16" t="inlineStr">
        <is>
          <t>Gate</t>
        </is>
      </c>
      <c r="D14" s="15" t="inlineStr">
        <is>
          <t>Gate 1 — End of SPS</t>
        </is>
      </c>
      <c r="E14" s="16" t="inlineStr">
        <is>
          <t>Team tracker</t>
        </is>
      </c>
      <c r="F14" s="16" t="inlineStr">
        <is>
          <t>Validated problem + issue tree + personas + research findings</t>
        </is>
      </c>
      <c r="G14" s="16" t="inlineStr">
        <is>
          <t>—</t>
        </is>
      </c>
      <c r="H14" s="16" t="n"/>
      <c r="I14" s="5" t="inlineStr">
        <is>
          <t>Not started</t>
        </is>
      </c>
      <c r="J14" s="16" t="n"/>
      <c r="K14" s="23" t="n"/>
      <c r="L14" s="23">
        <f>L12</f>
        <v/>
      </c>
      <c r="M14" s="16" t="inlineStr">
        <is>
          <t>Tentative</t>
        </is>
      </c>
      <c r="N14" s="16" t="inlineStr">
        <is>
          <t>1.1–1.7</t>
        </is>
      </c>
      <c r="O14" s="16" t="inlineStr">
        <is>
          <t>Validated problem + issue tree + personas + research findings</t>
        </is>
      </c>
      <c r="P14" s="16" t="inlineStr">
        <is>
          <t>—</t>
        </is>
      </c>
      <c r="Q14" s="16" t="inlineStr">
        <is>
          <t>—</t>
        </is>
      </c>
    </row>
    <row r="15" ht="24.85" customHeight="1">
      <c r="A15" s="4" t="inlineStr">
        <is>
          <t>2.1</t>
        </is>
      </c>
      <c r="B15" s="5" t="inlineStr">
        <is>
          <t>P2 · Solution Definition</t>
        </is>
      </c>
      <c r="C15" s="5" t="inlineStr">
        <is>
          <t>Activity</t>
        </is>
      </c>
      <c r="D15" s="4" t="inlineStr">
        <is>
          <t>Define decision journeys</t>
        </is>
      </c>
      <c r="E15" s="5" t="inlineStr">
        <is>
          <t>Team tracker</t>
        </is>
      </c>
      <c r="F15" s="5" t="inlineStr">
        <is>
          <t>Define the decisions the solution should support from the perspective of each persona.</t>
        </is>
      </c>
      <c r="G15" s="5" t="inlineStr">
        <is>
          <t>What decision should the user make after seeing the insight?</t>
        </is>
      </c>
      <c r="H15" s="10" t="inlineStr">
        <is>
          <t>Business Analyst</t>
        </is>
      </c>
      <c r="I15" s="5" t="inlineStr">
        <is>
          <t>In progress</t>
        </is>
      </c>
      <c r="J15" s="14" t="n">
        <v>1</v>
      </c>
      <c r="K15" s="20">
        <f>WORKDAY(L14,1)</f>
        <v/>
      </c>
      <c r="L15" s="20">
        <f>IF(OR(K15="",J15=""),"",WORKDAY(K15,J15-1))</f>
        <v/>
      </c>
      <c r="M15" s="5" t="inlineStr">
        <is>
          <t>Tentative — our estimate</t>
        </is>
      </c>
      <c r="N15" s="5" t="inlineStr">
        <is>
          <t>G1</t>
        </is>
      </c>
      <c r="O15" s="5" t="inlineStr">
        <is>
          <t>Decision journey map</t>
        </is>
      </c>
      <c r="P15" s="5" t="inlineStr">
        <is>
          <t>Draft exists (Miro journey). Missing: the closed loop from decision to measured impact.</t>
        </is>
      </c>
      <c r="Q15" s="5" t="inlineStr">
        <is>
          <t>Personas &amp; Journey tab</t>
        </is>
      </c>
    </row>
    <row r="16" ht="24.85" customHeight="1">
      <c r="A16" s="4" t="inlineStr">
        <is>
          <t>2.2</t>
        </is>
      </c>
      <c r="B16" s="5" t="inlineStr">
        <is>
          <t>P2 · Solution Definition</t>
        </is>
      </c>
      <c r="C16" s="5" t="inlineStr">
        <is>
          <t>Activity</t>
        </is>
      </c>
      <c r="D16" s="4" t="inlineStr">
        <is>
          <t>Define five functional modules</t>
        </is>
      </c>
      <c r="E16" s="5" t="inlineStr">
        <is>
          <t>Team tracker</t>
        </is>
      </c>
      <c r="F16" s="5" t="inlineStr">
        <is>
          <t>Translate the brief into the five required domain modules and their business questions.</t>
        </is>
      </c>
      <c r="G16" s="5" t="inlineStr">
        <is>
          <t>What should each tab show and what decision does it enable?</t>
        </is>
      </c>
      <c r="H16" s="10" t="inlineStr">
        <is>
          <t>Product Owner</t>
        </is>
      </c>
      <c r="I16" s="5" t="inlineStr">
        <is>
          <t>In progress</t>
        </is>
      </c>
      <c r="J16" s="14" t="n">
        <v>1</v>
      </c>
      <c r="K16" s="20">
        <f>WORKDAY(L14,1)</f>
        <v/>
      </c>
      <c r="L16" s="20">
        <f>IF(OR(K16="",J16=""),"",WORKDAY(K16,J16-1))</f>
        <v/>
      </c>
      <c r="M16" s="5" t="inlineStr">
        <is>
          <t>Tentative — our estimate</t>
        </is>
      </c>
      <c r="N16" s="5" t="inlineStr">
        <is>
          <t>G1, Q7</t>
        </is>
      </c>
      <c r="O16" s="5" t="inlineStr">
        <is>
          <t>Module requirements matrix</t>
        </is>
      </c>
      <c r="P16" s="5" t="inlineStr">
        <is>
          <t>Report 2 recommends the brief's five modules; sign-off pending (Q7).</t>
        </is>
      </c>
      <c r="Q16" s="5" t="inlineStr">
        <is>
          <t>Report 2</t>
        </is>
      </c>
    </row>
    <row r="17" ht="37.3" customHeight="1">
      <c r="A17" s="4" t="inlineStr">
        <is>
          <t>2.3</t>
        </is>
      </c>
      <c r="B17" s="5" t="inlineStr">
        <is>
          <t>P2 · Solution Definition</t>
        </is>
      </c>
      <c r="C17" s="5" t="inlineStr">
        <is>
          <t>Activity</t>
        </is>
      </c>
      <c r="D17" s="4" t="inlineStr">
        <is>
          <t>Define KPI framework</t>
        </is>
      </c>
      <c r="E17" s="5" t="inlineStr">
        <is>
          <t>Team tracker</t>
        </is>
      </c>
      <c r="F17" s="5" t="inlineStr">
        <is>
          <t>Define KPI meaning, calculation approach, grain, source and target/benchmark assumptions.</t>
        </is>
      </c>
      <c r="G17" s="5" t="inlineStr">
        <is>
          <t>How will Margin, Time-to-Market, Launch Success, SKU Productivity, Complexity and Cannibalization be measured?</t>
        </is>
      </c>
      <c r="H17" s="10" t="inlineStr">
        <is>
          <t>Analytics Lead</t>
        </is>
      </c>
      <c r="I17" s="5" t="inlineStr">
        <is>
          <t>In progress</t>
        </is>
      </c>
      <c r="J17" s="14" t="n">
        <v>2</v>
      </c>
      <c r="K17" s="20">
        <f>WORKDAY(L14,1)</f>
        <v/>
      </c>
      <c r="L17" s="20">
        <f>IF(OR(K17="",J17=""),"",WORKDAY(K17,J17-1))</f>
        <v/>
      </c>
      <c r="M17" s="5" t="inlineStr">
        <is>
          <t>Tentative — our estimate</t>
        </is>
      </c>
      <c r="N17" s="5" t="inlineStr">
        <is>
          <t>G1, Q2–Q5</t>
        </is>
      </c>
      <c r="O17" s="5" t="inlineStr">
        <is>
          <t>KPI dictionary</t>
        </is>
      </c>
      <c r="P17" s="5" t="inlineStr">
        <is>
          <t>Report 1 defines every metric. Open: the revenue baseline (Q2); two KPIs with no data (Q3); unsupported cards (Q4, Q5).</t>
        </is>
      </c>
      <c r="Q17" s="5" t="inlineStr">
        <is>
          <t>Report 1</t>
        </is>
      </c>
    </row>
    <row r="18" ht="24.85" customHeight="1">
      <c r="A18" s="4" t="inlineStr">
        <is>
          <t>2.4</t>
        </is>
      </c>
      <c r="B18" s="5" t="inlineStr">
        <is>
          <t>P2 · Solution Definition</t>
        </is>
      </c>
      <c r="C18" s="5" t="inlineStr">
        <is>
          <t>Activity</t>
        </is>
      </c>
      <c r="D18" s="4" t="inlineStr">
        <is>
          <t>Define data requirements</t>
        </is>
      </c>
      <c r="E18" s="5" t="inlineStr">
        <is>
          <t>Team tracker</t>
        </is>
      </c>
      <c r="F18" s="5" t="inlineStr">
        <is>
          <t>Identify product, sales, cost, supply, launch, market, customer and competitor data needed.</t>
        </is>
      </c>
      <c r="G18" s="5" t="inlineStr">
        <is>
          <t>What fields, granularity and refresh frequency are required?</t>
        </is>
      </c>
      <c r="H18" s="5" t="inlineStr">
        <is>
          <t>Guna</t>
        </is>
      </c>
      <c r="I18" s="5" t="inlineStr">
        <is>
          <t>Done</t>
        </is>
      </c>
      <c r="J18" s="5">
        <f>IF(OR(K18="",L18=""),"",NETWORKDAYS(K18,L18))</f>
        <v/>
      </c>
      <c r="K18" s="21" t="n"/>
      <c r="L18" s="22" t="n">
        <v>46279</v>
      </c>
      <c r="M18" s="5" t="inlineStr">
        <is>
          <t>Actual end</t>
        </is>
      </c>
      <c r="N18" s="5" t="inlineStr">
        <is>
          <t>—</t>
        </is>
      </c>
      <c r="O18" s="5" t="inlineStr">
        <is>
          <t>Data requirement matrix</t>
        </is>
      </c>
      <c r="P18" s="5" t="inlineStr">
        <is>
          <t>13-table star schema specified with types and keys.</t>
        </is>
      </c>
      <c r="Q18" s="5" t="inlineStr">
        <is>
          <t>data_model_specification.md</t>
        </is>
      </c>
    </row>
    <row r="19" ht="24.85" customHeight="1">
      <c r="A19" s="4" t="inlineStr">
        <is>
          <t>2.5</t>
        </is>
      </c>
      <c r="B19" s="5" t="inlineStr">
        <is>
          <t>P2 · Solution Definition</t>
        </is>
      </c>
      <c r="C19" s="5" t="inlineStr">
        <is>
          <t>Activity</t>
        </is>
      </c>
      <c r="D19" s="4" t="inlineStr">
        <is>
          <t>Define business rules</t>
        </is>
      </c>
      <c r="E19" s="5" t="inlineStr">
        <is>
          <t>Team tracker</t>
        </is>
      </c>
      <c r="F19" s="5" t="inlineStr">
        <is>
          <t>Create transparent decision logic for readiness, profitability alerts and rationalization.</t>
        </is>
      </c>
      <c r="G19" s="5" t="inlineStr">
        <is>
          <t>What conditions trigger GO/REVIEW/DELAY or retain/grow/bundle/reposition/sunset?</t>
        </is>
      </c>
      <c r="H19" s="10" t="inlineStr">
        <is>
          <t>Analytics Lead</t>
        </is>
      </c>
      <c r="I19" s="5" t="inlineStr">
        <is>
          <t>Not started</t>
        </is>
      </c>
      <c r="J19" s="14" t="n">
        <v>2</v>
      </c>
      <c r="K19" s="20">
        <f>WORKDAY(L17,1)</f>
        <v/>
      </c>
      <c r="L19" s="20">
        <f>IF(OR(K19="",J19=""),"",WORKDAY(K19,J19-1))</f>
        <v/>
      </c>
      <c r="M19" s="5" t="inlineStr">
        <is>
          <t>Tentative — our estimate</t>
        </is>
      </c>
      <c r="N19" s="5" t="inlineStr">
        <is>
          <t>2.3, Q13</t>
        </is>
      </c>
      <c r="O19" s="5" t="inlineStr">
        <is>
          <t>Business rule catalogue</t>
        </is>
      </c>
      <c r="P19" s="5" t="inlineStr">
        <is>
          <t>Blocked until one decision vocabulary is agreed (Q13).</t>
        </is>
      </c>
      <c r="Q19" s="5" t="inlineStr">
        <is>
          <t>—</t>
        </is>
      </c>
    </row>
    <row r="20" ht="37.3" customHeight="1">
      <c r="A20" s="4" t="inlineStr">
        <is>
          <t>2.6</t>
        </is>
      </c>
      <c r="B20" s="5" t="inlineStr">
        <is>
          <t>P2 · Solution Definition</t>
        </is>
      </c>
      <c r="C20" s="5" t="inlineStr">
        <is>
          <t>Activity</t>
        </is>
      </c>
      <c r="D20" s="4" t="inlineStr">
        <is>
          <t>Define Now vs AI-Assisted vs Agentic</t>
        </is>
      </c>
      <c r="E20" s="5" t="inlineStr">
        <is>
          <t>Team tracker</t>
        </is>
      </c>
      <c r="F20" s="5" t="inlineStr">
        <is>
          <t>Define where automation, AI assistance and agent orchestration add value.</t>
        </is>
      </c>
      <c r="G20" s="5" t="inlineStr">
        <is>
          <t>What should remain human-led? What can AI analyze? What can agents monitor/recommend?</t>
        </is>
      </c>
      <c r="H20" s="10" t="inlineStr">
        <is>
          <t>AI Lead</t>
        </is>
      </c>
      <c r="I20" s="5" t="inlineStr">
        <is>
          <t>In progress</t>
        </is>
      </c>
      <c r="J20" s="14" t="n">
        <v>1</v>
      </c>
      <c r="K20" s="20">
        <f>WORKDAY(L14,1)</f>
        <v/>
      </c>
      <c r="L20" s="20">
        <f>IF(OR(K20="",J20=""),"",WORKDAY(K20,J20-1))</f>
        <v/>
      </c>
      <c r="M20" s="5" t="inlineStr">
        <is>
          <t>Tentative — our estimate</t>
        </is>
      </c>
      <c r="N20" s="5" t="inlineStr">
        <is>
          <t>G1</t>
        </is>
      </c>
      <c r="O20" s="5" t="inlineStr">
        <is>
          <t>AI/Agentic evolution map</t>
        </is>
      </c>
      <c r="P20" s="5" t="inlineStr">
        <is>
          <t>Now / Next / Future architecture drawn; the rule 'the LLM explains, never computes' is proposed (Q10).</t>
        </is>
      </c>
      <c r="Q20" s="5" t="inlineStr">
        <is>
          <t>system_architecture.md</t>
        </is>
      </c>
    </row>
    <row r="21" ht="24.85" customHeight="1">
      <c r="A21" s="4" t="inlineStr">
        <is>
          <t>2.7</t>
        </is>
      </c>
      <c r="B21" s="5" t="inlineStr">
        <is>
          <t>P2 · Solution Definition</t>
        </is>
      </c>
      <c r="C21" s="5" t="inlineStr">
        <is>
          <t>Activity</t>
        </is>
      </c>
      <c r="D21" s="4" t="inlineStr">
        <is>
          <t>Solution architecture and hosting</t>
        </is>
      </c>
      <c r="E21" s="5" t="inlineStr">
        <is>
          <t>Original 16-phase plan</t>
        </is>
      </c>
      <c r="F21" s="5" t="inlineStr">
        <is>
          <t>Agree the technical architecture and where each part runs.</t>
        </is>
      </c>
      <c r="G21" s="5" t="inlineStr">
        <is>
          <t>What runs where, and what does it cost?</t>
        </is>
      </c>
      <c r="H21" s="10" t="n"/>
      <c r="I21" s="5" t="inlineStr">
        <is>
          <t>In progress</t>
        </is>
      </c>
      <c r="J21" s="14" t="n">
        <v>2</v>
      </c>
      <c r="K21" s="20">
        <f>WORKDAY(L14,1)</f>
        <v/>
      </c>
      <c r="L21" s="20">
        <f>IF(OR(K21="",J21=""),"",WORKDAY(K21,J21-1))</f>
        <v/>
      </c>
      <c r="M21" s="5" t="inlineStr">
        <is>
          <t>Tentative — original plan (0.3 week)</t>
        </is>
      </c>
      <c r="N21" s="5" t="inlineStr">
        <is>
          <t>G1, Q10</t>
        </is>
      </c>
      <c r="O21" s="5" t="inlineStr">
        <is>
          <t>Target architecture and hosting agreed.</t>
        </is>
      </c>
      <c r="P21" s="5" t="inlineStr">
        <is>
          <t>Stack decided: PostgreSQL, Python / FastAPI, metrics in SQL. Hosting and LLM budget open (Q10).</t>
        </is>
      </c>
      <c r="Q21" s="5" t="inlineStr">
        <is>
          <t>Architecture Roadmap tab</t>
        </is>
      </c>
    </row>
    <row r="22" ht="49.7" customHeight="1">
      <c r="A22" s="4" t="inlineStr">
        <is>
          <t>2.8</t>
        </is>
      </c>
      <c r="B22" s="5" t="inlineStr">
        <is>
          <t>P2 · Solution Definition</t>
        </is>
      </c>
      <c r="C22" s="5" t="inlineStr">
        <is>
          <t>Activity</t>
        </is>
      </c>
      <c r="D22" s="4" t="inlineStr">
        <is>
          <t>UI/UX design for the five domain tabs</t>
        </is>
      </c>
      <c r="E22" s="5" t="inlineStr">
        <is>
          <t>Original 16-phase plan</t>
        </is>
      </c>
      <c r="F22" s="5" t="inlineStr">
        <is>
          <t>Lay out the five domain tabs for each persona, using the gap analyses as requirements.</t>
        </is>
      </c>
      <c r="G22" s="5" t="inlineStr">
        <is>
          <t>Does each tab lead its persona from insight to decision?</t>
        </is>
      </c>
      <c r="H22" s="10" t="n"/>
      <c r="I22" s="5" t="inlineStr">
        <is>
          <t>Not started</t>
        </is>
      </c>
      <c r="J22" s="14" t="n">
        <v>3</v>
      </c>
      <c r="K22" s="20">
        <f>WORKDAY(L16,1)</f>
        <v/>
      </c>
      <c r="L22" s="20">
        <f>IF(OR(K22="",J22=""),"",WORKDAY(K22,J22-1))</f>
        <v/>
      </c>
      <c r="M22" s="5" t="inlineStr">
        <is>
          <t>Tentative — original plan (3 days)</t>
        </is>
      </c>
      <c r="N22" s="5" t="inlineStr">
        <is>
          <t>2.2</t>
        </is>
      </c>
      <c r="O22" s="5" t="inlineStr">
        <is>
          <t>Approved layouts for five tabs × three personas.</t>
        </is>
      </c>
      <c r="P22" s="5" t="inlineStr">
        <is>
          <t>The design system exists; this is consolidation, not a fresh visual design. A first prototype (persona-ordered sidebar, App.tsx) is built and verified but not committed -- draft input for this step, not a substitute for it.</t>
        </is>
      </c>
      <c r="Q22" s="5" t="inlineStr">
        <is>
          <t>Gap Analysis tab</t>
        </is>
      </c>
    </row>
    <row r="23" ht="24.85" customHeight="1">
      <c r="A23" s="15" t="inlineStr">
        <is>
          <t>G2</t>
        </is>
      </c>
      <c r="B23" s="16" t="inlineStr">
        <is>
          <t>P2 · Solution Definition</t>
        </is>
      </c>
      <c r="C23" s="16" t="inlineStr">
        <is>
          <t>Gate</t>
        </is>
      </c>
      <c r="D23" s="15" t="inlineStr">
        <is>
          <t>Gate 2 — Solution design complete</t>
        </is>
      </c>
      <c r="E23" s="16" t="inlineStr">
        <is>
          <t>Team tracker</t>
        </is>
      </c>
      <c r="F23" s="16" t="inlineStr">
        <is>
          <t>Five modules + KPI dictionary + data model + business rules</t>
        </is>
      </c>
      <c r="G23" s="16" t="inlineStr">
        <is>
          <t>—</t>
        </is>
      </c>
      <c r="H23" s="16" t="n"/>
      <c r="I23" s="5" t="inlineStr">
        <is>
          <t>Not started</t>
        </is>
      </c>
      <c r="J23" s="16" t="n"/>
      <c r="K23" s="23" t="n"/>
      <c r="L23" s="23">
        <f>MAX(L15,L16,L17,L19,L20,L21,L22)</f>
        <v/>
      </c>
      <c r="M23" s="16" t="inlineStr">
        <is>
          <t>Tentative</t>
        </is>
      </c>
      <c r="N23" s="16" t="inlineStr">
        <is>
          <t>2.1–2.8</t>
        </is>
      </c>
      <c r="O23" s="16" t="inlineStr">
        <is>
          <t>Five modules + KPI dictionary + data model + business rules</t>
        </is>
      </c>
      <c r="P23" s="16" t="inlineStr">
        <is>
          <t>—</t>
        </is>
      </c>
      <c r="Q23" s="16" t="inlineStr">
        <is>
          <t>—</t>
        </is>
      </c>
    </row>
    <row r="24" ht="24.85" customHeight="1">
      <c r="A24" s="4" t="inlineStr">
        <is>
          <t>3.1</t>
        </is>
      </c>
      <c r="B24" s="5" t="inlineStr">
        <is>
          <t>P3 · Data &amp; Prototype</t>
        </is>
      </c>
      <c r="C24" s="5" t="inlineStr">
        <is>
          <t>Activity</t>
        </is>
      </c>
      <c r="D24" s="4" t="inlineStr">
        <is>
          <t>Create simulated data model</t>
        </is>
      </c>
      <c r="E24" s="5" t="inlineStr">
        <is>
          <t>Team tracker</t>
        </is>
      </c>
      <c r="F24" s="5" t="inlineStr">
        <is>
          <t>Create realistic linked datasets for products/SKUs, sales, costs, supply, launches, market and VoC.</t>
        </is>
      </c>
      <c r="G24" s="5" t="inlineStr">
        <is>
          <t>Can the data support every required module and KPI?</t>
        </is>
      </c>
      <c r="H24" s="5" t="inlineStr">
        <is>
          <t>Guna</t>
        </is>
      </c>
      <c r="I24" s="5" t="inlineStr">
        <is>
          <t>Done</t>
        </is>
      </c>
      <c r="J24" s="5">
        <f>IF(OR(K24="",L24=""),"",NETWORKDAYS(K24,L24))</f>
        <v/>
      </c>
      <c r="K24" s="22" t="n">
        <v>46274</v>
      </c>
      <c r="L24" s="22" t="n">
        <v>46279</v>
      </c>
      <c r="M24" s="5" t="inlineStr">
        <is>
          <t>Approx. start (seed date); actual end</t>
        </is>
      </c>
      <c r="N24" s="5" t="inlineStr">
        <is>
          <t>—</t>
        </is>
      </c>
      <c r="O24" s="5" t="inlineStr">
        <is>
          <t>Validated prototype dataset</t>
        </is>
      </c>
      <c r="P24" s="5" t="inlineStr">
        <is>
          <t>119 SKUs × 7 countries × 4 channels × 731 days; 368,013 fact rows; 16 of 16 validation targets met.</t>
        </is>
      </c>
      <c r="Q24" s="5" t="inlineStr">
        <is>
          <t>Research &amp; Data tab</t>
        </is>
      </c>
    </row>
    <row r="25" ht="24.85" customHeight="1">
      <c r="A25" s="4" t="inlineStr">
        <is>
          <t>3.1a</t>
        </is>
      </c>
      <c r="B25" s="5" t="inlineStr">
        <is>
          <t>P3 · Data &amp; Prototype</t>
        </is>
      </c>
      <c r="C25" s="5" t="inlineStr">
        <is>
          <t>Activity</t>
        </is>
      </c>
      <c r="D25" s="4" t="inlineStr">
        <is>
          <t>Load the PostgreSQL warehouse</t>
        </is>
      </c>
      <c r="E25" s="5" t="inlineStr">
        <is>
          <t>Added</t>
        </is>
      </c>
      <c r="F25" s="5" t="inlineStr">
        <is>
          <t>Put the dataset into a real database the application can read.</t>
        </is>
      </c>
      <c r="G25" s="5" t="inlineStr">
        <is>
          <t>Do the loaded totals reconcile?</t>
        </is>
      </c>
      <c r="H25" s="5" t="inlineStr">
        <is>
          <t>Guna</t>
        </is>
      </c>
      <c r="I25" s="5" t="inlineStr">
        <is>
          <t>Done</t>
        </is>
      </c>
      <c r="J25" s="5">
        <f>IF(OR(K25="",L25=""),"",NETWORKDAYS(K25,L25))</f>
        <v/>
      </c>
      <c r="K25" s="22" t="n">
        <v>46279</v>
      </c>
      <c r="L25" s="22" t="n">
        <v>46285</v>
      </c>
      <c r="M25" s="5" t="inlineStr">
        <is>
          <t>Actual</t>
        </is>
      </c>
      <c r="N25" s="5" t="inlineStr">
        <is>
          <t>3.1</t>
        </is>
      </c>
      <c r="O25" s="5" t="inlineStr">
        <is>
          <t>13 tables loaded; totals match the generator.</t>
        </is>
      </c>
      <c r="P25" s="5" t="inlineStr">
        <is>
          <t>377,364 rows loaded 20 Sep. Reconciles: $473.0M net sales, +8.29% growth, 38.55% margin.</t>
        </is>
      </c>
      <c r="Q25" s="5" t="inlineStr">
        <is>
          <t>data/schema/</t>
        </is>
      </c>
    </row>
    <row r="26" ht="24.85" customHeight="1">
      <c r="A26" s="4" t="inlineStr">
        <is>
          <t>3.1b</t>
        </is>
      </c>
      <c r="B26" s="5" t="inlineStr">
        <is>
          <t>P3 · Data &amp; Prototype</t>
        </is>
      </c>
      <c r="C26" s="5" t="inlineStr">
        <is>
          <t>Activity</t>
        </is>
      </c>
      <c r="D26" s="4" t="inlineStr">
        <is>
          <t>Derived-metric SQL and SQL validation</t>
        </is>
      </c>
      <c r="E26" s="5" t="inlineStr">
        <is>
          <t>Added</t>
        </is>
      </c>
      <c r="F26" s="5" t="inlineStr">
        <is>
          <t>Give every formula a single implementation, in SQL.</t>
        </is>
      </c>
      <c r="G26" s="5" t="inlineStr">
        <is>
          <t>Do the 16 checks pass in SQL too?</t>
        </is>
      </c>
      <c r="H26" s="10" t="n"/>
      <c r="I26" s="5" t="inlineStr">
        <is>
          <t>Not started</t>
        </is>
      </c>
      <c r="J26" s="14" t="n">
        <v>2</v>
      </c>
      <c r="K26" s="20">
        <f>WORKDAY(L17,1)</f>
        <v/>
      </c>
      <c r="L26" s="20">
        <f>IF(OR(K26="",J26=""),"",WORKDAY(K26,J26-1))</f>
        <v/>
      </c>
      <c r="M26" s="5" t="inlineStr">
        <is>
          <t>Tentative — our estimate</t>
        </is>
      </c>
      <c r="N26" s="5" t="inlineStr">
        <is>
          <t>3.1a, Q2</t>
        </is>
      </c>
      <c r="O26" s="5" t="inlineStr">
        <is>
          <t>Derived tables rebuilt in SQL; 16 checks pass in SQL.</t>
        </is>
      </c>
      <c r="P26" s="5" t="inlineStr">
        <is>
          <t>03_derive_metrics.sql and 04_validate.sql.</t>
        </is>
      </c>
      <c r="Q26" s="5" t="inlineStr">
        <is>
          <t>TODO.md O2</t>
        </is>
      </c>
    </row>
    <row r="27" ht="87" customHeight="1">
      <c r="A27" s="4" t="inlineStr">
        <is>
          <t>3.1c</t>
        </is>
      </c>
      <c r="B27" s="5" t="inlineStr">
        <is>
          <t>P3 · Data &amp; Prototype</t>
        </is>
      </c>
      <c r="C27" s="5" t="inlineStr">
        <is>
          <t>Activity</t>
        </is>
      </c>
      <c r="D27" s="4" t="inlineStr">
        <is>
          <t>Metric integrity and data wiring</t>
        </is>
      </c>
      <c r="E27" s="5" t="inlineStr">
        <is>
          <t>Added</t>
        </is>
      </c>
      <c r="F27" s="5" t="inlineStr">
        <is>
          <t>One value per metric on every screen.</t>
        </is>
      </c>
      <c r="G27" s="5" t="inlineStr">
        <is>
          <t>Does any figure disagree between screens?</t>
        </is>
      </c>
      <c r="H27" s="10" t="n"/>
      <c r="I27" s="5" t="inlineStr">
        <is>
          <t>In progress</t>
        </is>
      </c>
      <c r="J27" s="14" t="n">
        <v>5</v>
      </c>
      <c r="K27" s="20">
        <f>WORKDAY(L17,1)</f>
        <v/>
      </c>
      <c r="L27" s="20">
        <f>IF(OR(K27="",J27=""),"",WORKDAY(K27,J27-1))</f>
        <v/>
      </c>
      <c r="M27" s="5" t="inlineStr">
        <is>
          <t>Tentative — our estimate</t>
        </is>
      </c>
      <c r="N27" s="5" t="inlineStr">
        <is>
          <t>2.3, Q2, Q4, Q5</t>
        </is>
      </c>
      <c r="O27" s="5" t="inlineStr">
        <is>
          <t>Each metric has one value everywhere; no empty KPI strip; lifecycle revenue bug fixed.</t>
        </is>
      </c>
      <c r="P27" s="5" t="inlineStr">
        <is>
          <t>Every formula in the app catalogued and verified against source (documentation/formulas.md, 23 Sep) -- Python generator, SQL, and all 9 tabs, each marked real / real-formula-fake-input / fabricated. New finding: the timeline selector fabricates variance on every figure it touches, including the two KPI-strip metrics this review had called genuinely computed (R22). The audit is complete; the actual rewiring and fixes have not started.</t>
        </is>
      </c>
      <c r="Q27" s="5" t="inlineStr">
        <is>
          <t>TODO.md O7</t>
        </is>
      </c>
    </row>
    <row r="28" ht="37.3" customHeight="1">
      <c r="A28" s="4" t="inlineStr">
        <is>
          <t>3.1d</t>
        </is>
      </c>
      <c r="B28" s="5" t="inlineStr">
        <is>
          <t>P3 · Data &amp; Prototype</t>
        </is>
      </c>
      <c r="C28" s="5" t="inlineStr">
        <is>
          <t>Activity</t>
        </is>
      </c>
      <c r="D28" s="4" t="inlineStr">
        <is>
          <t>Replace real brands with fictional ones</t>
        </is>
      </c>
      <c r="E28" s="5" t="inlineStr">
        <is>
          <t>Added</t>
        </is>
      </c>
      <c r="F28" s="5" t="inlineStr">
        <is>
          <t>Remove trademark exposure from the demo.</t>
        </is>
      </c>
      <c r="G28" s="5" t="inlineStr">
        <is>
          <t>Could a client recognise a real brand on screen?</t>
        </is>
      </c>
      <c r="H28" s="10" t="n"/>
      <c r="I28" s="5" t="inlineStr">
        <is>
          <t>Not started</t>
        </is>
      </c>
      <c r="J28" s="14" t="n">
        <v>1</v>
      </c>
      <c r="K28" s="20">
        <f>WORKDAY(L13,1)</f>
        <v/>
      </c>
      <c r="L28" s="20">
        <f>IF(OR(K28="",J28=""),"",WORKDAY(K28,J28-1))</f>
        <v/>
      </c>
      <c r="M28" s="5" t="inlineStr">
        <is>
          <t>Tentative — our estimate</t>
        </is>
      </c>
      <c r="N28" s="5" t="inlineStr">
        <is>
          <t>Q8</t>
        </is>
      </c>
      <c r="O28" s="5" t="inlineStr">
        <is>
          <t>No real brand names in data, screens or simulator.</t>
        </is>
      </c>
      <c r="P28" s="5" t="inlineStr">
        <is>
          <t>Seven real brands in the database, plus Pepsi, Mountain Dew and Lay's in the pricing simulator. Needs a dataset regenerate and reload.</t>
        </is>
      </c>
      <c r="Q28" s="5" t="inlineStr">
        <is>
          <t>TODO.md O9</t>
        </is>
      </c>
    </row>
    <row r="29" ht="37.3" customHeight="1">
      <c r="A29" s="4" t="inlineStr">
        <is>
          <t>3.2</t>
        </is>
      </c>
      <c r="B29" s="5" t="inlineStr">
        <is>
          <t>P3 · Data &amp; Prototype</t>
        </is>
      </c>
      <c r="C29" s="5" t="inlineStr">
        <is>
          <t>Activity</t>
        </is>
      </c>
      <c r="D29" s="4" t="inlineStr">
        <is>
          <t>Rework Portfolio Health Map</t>
        </is>
      </c>
      <c r="E29" s="5" t="inlineStr">
        <is>
          <t>Team tracker (reworded: tab exists)</t>
        </is>
      </c>
      <c r="F29" s="5" t="inlineStr">
        <is>
          <t>Build lifecycle, growth, revenue, margin and strategic-fit views.</t>
        </is>
      </c>
      <c r="G29" s="5" t="inlineStr">
        <is>
          <t>Can the VP identify healthy and underperforming products quickly?</t>
        </is>
      </c>
      <c r="H29" s="10" t="inlineStr">
        <is>
          <t>UI/BI Lead</t>
        </is>
      </c>
      <c r="I29" s="5" t="inlineStr">
        <is>
          <t>Rework needed</t>
        </is>
      </c>
      <c r="J29" s="18" t="n"/>
      <c r="K29" s="20">
        <f>WORKDAY(L23,1)</f>
        <v/>
      </c>
      <c r="L29" s="20">
        <f>IF(OR(K29="",J29=""),"",WORKDAY(K29,J29-1))</f>
        <v/>
      </c>
      <c r="M29" s="5" t="inlineStr">
        <is>
          <t>Tentative — needs an estimate</t>
        </is>
      </c>
      <c r="N29" s="5" t="inlineStr">
        <is>
          <t>G2</t>
        </is>
      </c>
      <c r="O29" s="5" t="inlineStr">
        <is>
          <t>Functional Tab 1</t>
        </is>
      </c>
      <c r="P29" s="5" t="inlineStr">
        <is>
          <t>Tab exists. 21 gaps identified in the team's functional review.</t>
        </is>
      </c>
      <c r="Q29" s="5" t="inlineStr">
        <is>
          <t>Gap Analysis tab</t>
        </is>
      </c>
    </row>
    <row r="30" ht="37.3" customHeight="1">
      <c r="A30" s="4" t="inlineStr">
        <is>
          <t>3.3</t>
        </is>
      </c>
      <c r="B30" s="5" t="inlineStr">
        <is>
          <t>P3 · Data &amp; Prototype</t>
        </is>
      </c>
      <c r="C30" s="5" t="inlineStr">
        <is>
          <t>Activity</t>
        </is>
      </c>
      <c r="D30" s="4" t="inlineStr">
        <is>
          <t>Rework Launch Readiness Dashboard</t>
        </is>
      </c>
      <c r="E30" s="5" t="inlineStr">
        <is>
          <t>Team tracker (reworded: tab exists)</t>
        </is>
      </c>
      <c r="F30" s="5" t="inlineStr">
        <is>
          <t>Build market, supply, channel and pricing readiness views.</t>
        </is>
      </c>
      <c r="G30" s="5" t="inlineStr">
        <is>
          <t>Can the user identify launch risks and readiness status?</t>
        </is>
      </c>
      <c r="H30" s="10" t="inlineStr">
        <is>
          <t>UI/BI Lead</t>
        </is>
      </c>
      <c r="I30" s="5" t="inlineStr">
        <is>
          <t>Rework needed</t>
        </is>
      </c>
      <c r="J30" s="18" t="n"/>
      <c r="K30" s="20">
        <f>WORKDAY(L23,1)</f>
        <v/>
      </c>
      <c r="L30" s="20">
        <f>IF(OR(K30="",J30=""),"",WORKDAY(K30,J30-1))</f>
        <v/>
      </c>
      <c r="M30" s="5" t="inlineStr">
        <is>
          <t>Tentative — needs an estimate</t>
        </is>
      </c>
      <c r="N30" s="5" t="inlineStr">
        <is>
          <t>G2</t>
        </is>
      </c>
      <c r="O30" s="5" t="inlineStr">
        <is>
          <t>Functional Tab 2</t>
        </is>
      </c>
      <c r="P30" s="5" t="inlineStr">
        <is>
          <t>Tab exists. 15 gaps identified. The Product Manager is served the VP's view, but the persona matrix makes PM primary here.</t>
        </is>
      </c>
      <c r="Q30" s="5" t="inlineStr">
        <is>
          <t>Gap Analysis tab</t>
        </is>
      </c>
    </row>
    <row r="31" ht="37.3" customHeight="1">
      <c r="A31" s="4" t="inlineStr">
        <is>
          <t>3.4</t>
        </is>
      </c>
      <c r="B31" s="5" t="inlineStr">
        <is>
          <t>P3 · Data &amp; Prototype</t>
        </is>
      </c>
      <c r="C31" s="5" t="inlineStr">
        <is>
          <t>Activity</t>
        </is>
      </c>
      <c r="D31" s="4" t="inlineStr">
        <is>
          <t>Rework Profitability Tree</t>
        </is>
      </c>
      <c r="E31" s="5" t="inlineStr">
        <is>
          <t>Team tracker (reworded: tab exists)</t>
        </is>
      </c>
      <c r="F31" s="5" t="inlineStr">
        <is>
          <t>Build revenue, margin, cost-to-serve and leakage analysis.</t>
        </is>
      </c>
      <c r="G31" s="5" t="inlineStr">
        <is>
          <t>Can the user explain why profitability is changing?</t>
        </is>
      </c>
      <c r="H31" s="10" t="inlineStr">
        <is>
          <t>Analytics/UI Lead</t>
        </is>
      </c>
      <c r="I31" s="5" t="inlineStr">
        <is>
          <t>Rework needed</t>
        </is>
      </c>
      <c r="J31" s="18" t="n"/>
      <c r="K31" s="20">
        <f>WORKDAY(L23,1)</f>
        <v/>
      </c>
      <c r="L31" s="20">
        <f>IF(OR(K31="",J31=""),"",WORKDAY(K31,J31-1))</f>
        <v/>
      </c>
      <c r="M31" s="5" t="inlineStr">
        <is>
          <t>Tentative — needs an estimate</t>
        </is>
      </c>
      <c r="N31" s="5" t="inlineStr">
        <is>
          <t>G2</t>
        </is>
      </c>
      <c r="O31" s="5" t="inlineStr">
        <is>
          <t>Functional Tab 3</t>
        </is>
      </c>
      <c r="P31" s="5" t="inlineStr">
        <is>
          <t>Tab exists. No gap analysis yet — next for the team.</t>
        </is>
      </c>
      <c r="Q31" s="5" t="inlineStr">
        <is>
          <t>—</t>
        </is>
      </c>
    </row>
    <row r="32" ht="37.3" customHeight="1">
      <c r="A32" s="4" t="inlineStr">
        <is>
          <t>3.5</t>
        </is>
      </c>
      <c r="B32" s="5" t="inlineStr">
        <is>
          <t>P3 · Data &amp; Prototype</t>
        </is>
      </c>
      <c r="C32" s="5" t="inlineStr">
        <is>
          <t>Activity</t>
        </is>
      </c>
      <c r="D32" s="4" t="inlineStr">
        <is>
          <t>Rework SKU Rationalization Simulator</t>
        </is>
      </c>
      <c r="E32" s="5" t="inlineStr">
        <is>
          <t>Team tracker (reworded: tab exists)</t>
        </is>
      </c>
      <c r="F32" s="5" t="inlineStr">
        <is>
          <t>Build retain/grow/bundle/reposition/sunset recommendations and scenario impact.</t>
        </is>
      </c>
      <c r="G32" s="5" t="inlineStr">
        <is>
          <t>Can the user simulate portfolio changes and see revenue/margin/complexity impact?</t>
        </is>
      </c>
      <c r="H32" s="10" t="inlineStr">
        <is>
          <t>Analytics/UI Lead</t>
        </is>
      </c>
      <c r="I32" s="5" t="inlineStr">
        <is>
          <t>Rework needed</t>
        </is>
      </c>
      <c r="J32" s="18" t="n"/>
      <c r="K32" s="20">
        <f>WORKDAY(L23,1)</f>
        <v/>
      </c>
      <c r="L32" s="20">
        <f>IF(OR(K32="",J32=""),"",WORKDAY(K32,J32-1))</f>
        <v/>
      </c>
      <c r="M32" s="5" t="inlineStr">
        <is>
          <t>Tentative — needs an estimate</t>
        </is>
      </c>
      <c r="N32" s="5" t="inlineStr">
        <is>
          <t>G2, Q13</t>
        </is>
      </c>
      <c r="O32" s="5" t="inlineStr">
        <is>
          <t>Functional Tab 4</t>
        </is>
      </c>
      <c r="P32" s="5" t="inlineStr">
        <is>
          <t>Tab exists. No gap analysis yet. Outcome labels differ from the team's (Q13).</t>
        </is>
      </c>
      <c r="Q32" s="5" t="inlineStr">
        <is>
          <t>—</t>
        </is>
      </c>
    </row>
    <row r="33" ht="37.3" customHeight="1">
      <c r="A33" s="4" t="inlineStr">
        <is>
          <t>3.6</t>
        </is>
      </c>
      <c r="B33" s="5" t="inlineStr">
        <is>
          <t>P3 · Data &amp; Prototype</t>
        </is>
      </c>
      <c r="C33" s="5" t="inlineStr">
        <is>
          <t>Activity</t>
        </is>
      </c>
      <c r="D33" s="4" t="inlineStr">
        <is>
          <t>Rework Market &amp; VoC Signal Board</t>
        </is>
      </c>
      <c r="E33" s="5" t="inlineStr">
        <is>
          <t>Team tracker (reworded: tab exists)</t>
        </is>
      </c>
      <c r="F33" s="5" t="inlineStr">
        <is>
          <t>Build customer sentiment, competitor, demand and channel signal views.</t>
        </is>
      </c>
      <c r="G33" s="5" t="inlineStr">
        <is>
          <t>Can external signals influence portfolio decisions?</t>
        </is>
      </c>
      <c r="H33" s="10" t="inlineStr">
        <is>
          <t>UI/BI Lead</t>
        </is>
      </c>
      <c r="I33" s="5" t="inlineStr">
        <is>
          <t>Rework needed</t>
        </is>
      </c>
      <c r="J33" s="18" t="n"/>
      <c r="K33" s="20">
        <f>WORKDAY(L23,1)</f>
        <v/>
      </c>
      <c r="L33" s="20">
        <f>IF(OR(K33="",J33=""),"",WORKDAY(K33,J33-1))</f>
        <v/>
      </c>
      <c r="M33" s="5" t="inlineStr">
        <is>
          <t>Tentative — needs an estimate</t>
        </is>
      </c>
      <c r="N33" s="5" t="inlineStr">
        <is>
          <t>G2, Q11</t>
        </is>
      </c>
      <c r="O33" s="5" t="inlineStr">
        <is>
          <t>Functional Tab 5</t>
        </is>
      </c>
      <c r="P33" s="5" t="inlineStr">
        <is>
          <t>Tab exists. No gap analysis yet. Competitor content is authored, not fed (Q11).</t>
        </is>
      </c>
      <c r="Q33" s="5" t="inlineStr">
        <is>
          <t>—</t>
        </is>
      </c>
    </row>
    <row r="34" ht="37.3" customHeight="1">
      <c r="A34" s="4" t="inlineStr">
        <is>
          <t>3.7</t>
        </is>
      </c>
      <c r="B34" s="5" t="inlineStr">
        <is>
          <t>P3 · Data &amp; Prototype</t>
        </is>
      </c>
      <c r="C34" s="5" t="inlineStr">
        <is>
          <t>Activity</t>
        </is>
      </c>
      <c r="D34" s="4" t="inlineStr">
        <is>
          <t>Consolidate 12 tabs into 5</t>
        </is>
      </c>
      <c r="E34" s="5" t="inlineStr">
        <is>
          <t>Original 16-phase plan (Frontend 'Done' → rework)</t>
        </is>
      </c>
      <c r="F34" s="5" t="inlineStr">
        <is>
          <t>Fold Home, Top-Down Drill, Assortment, Orchestrator and Task Tracker into the five domain tabs.</t>
        </is>
      </c>
      <c r="G34" s="5" t="inlineStr">
        <is>
          <t>Can each persona do their job in five tabs?</t>
        </is>
      </c>
      <c r="H34" s="10" t="n"/>
      <c r="I34" s="5" t="inlineStr">
        <is>
          <t>Not started</t>
        </is>
      </c>
      <c r="J34" s="14" t="n">
        <v>10</v>
      </c>
      <c r="K34" s="20">
        <f>WORKDAY(L22,1)</f>
        <v/>
      </c>
      <c r="L34" s="20">
        <f>IF(OR(K34="",J34=""),"",WORKDAY(K34,J34-1))</f>
        <v/>
      </c>
      <c r="M34" s="5" t="inlineStr">
        <is>
          <t>Tentative — our estimate</t>
        </is>
      </c>
      <c r="N34" s="5" t="inlineStr">
        <is>
          <t>2.8, Q7</t>
        </is>
      </c>
      <c r="O34" s="5" t="inlineStr">
        <is>
          <t>Five domain tabs live; duplicated VP / standard views unified; smoke test covers every tab.</t>
        </is>
      </c>
      <c r="P34" s="5" t="inlineStr">
        <is>
          <t>12 tabs today. The decision journey shows the drill-down belongs inside each tab.</t>
        </is>
      </c>
      <c r="Q34" s="5" t="inlineStr">
        <is>
          <t>TODO.md O8</t>
        </is>
      </c>
    </row>
    <row r="35" ht="24.85" customHeight="1">
      <c r="A35" s="4" t="inlineStr">
        <is>
          <t>3.8</t>
        </is>
      </c>
      <c r="B35" s="5" t="inlineStr">
        <is>
          <t>P3 · Data &amp; Prototype</t>
        </is>
      </c>
      <c r="C35" s="5" t="inlineStr">
        <is>
          <t>Activity</t>
        </is>
      </c>
      <c r="D35" s="4" t="inlineStr">
        <is>
          <t>Backend — FastAPI read API and metric registry</t>
        </is>
      </c>
      <c r="E35" s="5" t="inlineStr">
        <is>
          <t>Original 16-phase plan</t>
        </is>
      </c>
      <c r="F35" s="5" t="inlineStr">
        <is>
          <t>Serve every displayed figure from PostgreSQL through one metric registry.</t>
        </is>
      </c>
      <c r="G35" s="5" t="inlineStr">
        <is>
          <t>Does every figure on screen have one definition and one source?</t>
        </is>
      </c>
      <c r="H35" s="10" t="n"/>
      <c r="I35" s="5" t="inlineStr">
        <is>
          <t>Not started</t>
        </is>
      </c>
      <c r="J35" s="14" t="n">
        <v>30</v>
      </c>
      <c r="K35" s="20">
        <f>WORKDAY(MAX(L17,L21),1)</f>
        <v/>
      </c>
      <c r="L35" s="20">
        <f>IF(OR(K35="",J35=""),"",WORKDAY(K35,J35-1))</f>
        <v/>
      </c>
      <c r="M35" s="5" t="inlineStr">
        <is>
          <t>Tentative — original plan (6 weeks)</t>
        </is>
      </c>
      <c r="N35" s="5" t="inlineStr">
        <is>
          <t>2.3, 2.7, 3.1a</t>
        </is>
      </c>
      <c r="O35" s="5" t="inlineStr">
        <is>
          <t>Read API serves every displayed figure from the registry.</t>
        </is>
      </c>
      <c r="P35" s="5" t="inlineStr">
        <is>
          <t>Critical path. Nothing built yet. If Q1 = demo asset, read-only endpoints are enough.</t>
        </is>
      </c>
      <c r="Q35" s="5" t="inlineStr">
        <is>
          <t>requirements.txt</t>
        </is>
      </c>
    </row>
    <row r="36" ht="24.85" customHeight="1">
      <c r="A36" s="4" t="inlineStr">
        <is>
          <t>3.9</t>
        </is>
      </c>
      <c r="B36" s="5" t="inlineStr">
        <is>
          <t>P3 · Data &amp; Prototype</t>
        </is>
      </c>
      <c r="C36" s="5" t="inlineStr">
        <is>
          <t>Activity</t>
        </is>
      </c>
      <c r="D36" s="4" t="inlineStr">
        <is>
          <t>Integration — the app reads from the API</t>
        </is>
      </c>
      <c r="E36" s="5" t="inlineStr">
        <is>
          <t>Original 16-phase plan</t>
        </is>
      </c>
      <c r="F36" s="5" t="inlineStr">
        <is>
          <t>Replace constant imports with one data hook calling the API.</t>
        </is>
      </c>
      <c r="G36" s="5" t="inlineStr">
        <is>
          <t>Is any figure still hardcoded?</t>
        </is>
      </c>
      <c r="H36" s="10" t="n"/>
      <c r="I36" s="5" t="inlineStr">
        <is>
          <t>Not started</t>
        </is>
      </c>
      <c r="J36" s="14" t="n">
        <v>5</v>
      </c>
      <c r="K36" s="20">
        <f>WORKDAY(MAX(L35,L34),1)</f>
        <v/>
      </c>
      <c r="L36" s="20">
        <f>IF(OR(K36="",J36=""),"",WORKDAY(K36,J36-1))</f>
        <v/>
      </c>
      <c r="M36" s="5" t="inlineStr">
        <is>
          <t>Tentative — original plan (1 week)</t>
        </is>
      </c>
      <c r="N36" s="5" t="inlineStr">
        <is>
          <t>3.7, 3.8</t>
        </is>
      </c>
      <c r="O36" s="5" t="inlineStr">
        <is>
          <t>No figure imported from a constant file.</t>
        </is>
      </c>
      <c r="P36" s="5" t="inlineStr">
        <is>
          <t>Nothing in the app calls a server today.</t>
        </is>
      </c>
      <c r="Q36" s="5" t="inlineStr">
        <is>
          <t>—</t>
        </is>
      </c>
    </row>
    <row r="37" ht="24.85" customHeight="1">
      <c r="A37" s="15" t="inlineStr">
        <is>
          <t>G3</t>
        </is>
      </c>
      <c r="B37" s="16" t="inlineStr">
        <is>
          <t>P3 · Data &amp; Prototype</t>
        </is>
      </c>
      <c r="C37" s="16" t="inlineStr">
        <is>
          <t>Gate</t>
        </is>
      </c>
      <c r="D37" s="15" t="inlineStr">
        <is>
          <t>Gate 3 — Functional prototype</t>
        </is>
      </c>
      <c r="E37" s="16" t="inlineStr">
        <is>
          <t>Team tracker</t>
        </is>
      </c>
      <c r="F37" s="16" t="inlineStr">
        <is>
          <t>Five tabs working without AI dependency</t>
        </is>
      </c>
      <c r="G37" s="16" t="inlineStr">
        <is>
          <t>—</t>
        </is>
      </c>
      <c r="H37" s="16" t="n"/>
      <c r="I37" s="5" t="inlineStr">
        <is>
          <t>Not started</t>
        </is>
      </c>
      <c r="J37" s="16" t="n"/>
      <c r="K37" s="23" t="n"/>
      <c r="L37" s="23">
        <f>MAX(L26,L27,L28,L29,L30,L31,L32,L33,L34,L36)</f>
        <v/>
      </c>
      <c r="M37" s="16" t="inlineStr">
        <is>
          <t>Tentative</t>
        </is>
      </c>
      <c r="N37" s="16" t="inlineStr">
        <is>
          <t>3.1b–3.9</t>
        </is>
      </c>
      <c r="O37" s="16" t="inlineStr">
        <is>
          <t>Five tabs working without AI dependency</t>
        </is>
      </c>
      <c r="P37" s="16" t="inlineStr">
        <is>
          <t>Excludes 3.2–3.6 until they have estimates, so this date is optimistic (R21).</t>
        </is>
      </c>
      <c r="Q37" s="16" t="inlineStr">
        <is>
          <t>—</t>
        </is>
      </c>
    </row>
    <row r="38" ht="24.85" customHeight="1">
      <c r="A38" s="4" t="inlineStr">
        <is>
          <t>4.1</t>
        </is>
      </c>
      <c r="B38" s="5" t="inlineStr">
        <is>
          <t>P4 · AI, Testing &amp; Final Demo</t>
        </is>
      </c>
      <c r="C38" s="5" t="inlineStr">
        <is>
          <t>Activity</t>
        </is>
      </c>
      <c r="D38" s="4" t="inlineStr">
        <is>
          <t>Design agent responsibilities</t>
        </is>
      </c>
      <c r="E38" s="5" t="inlineStr">
        <is>
          <t>Team tracker</t>
        </is>
      </c>
      <c r="F38" s="5" t="inlineStr">
        <is>
          <t>Refine Portfolio, Market Signal, Launch, Profitability and Sunset agent roles.</t>
        </is>
      </c>
      <c r="G38" s="5" t="inlineStr">
        <is>
          <t>What does each agent monitor, analyze, recommend and hand off?</t>
        </is>
      </c>
      <c r="H38" s="10" t="inlineStr">
        <is>
          <t>AI Lead</t>
        </is>
      </c>
      <c r="I38" s="5" t="inlineStr">
        <is>
          <t>Not started</t>
        </is>
      </c>
      <c r="J38" s="14" t="n">
        <v>2</v>
      </c>
      <c r="K38" s="20">
        <f>WORKDAY(L23,1)</f>
        <v/>
      </c>
      <c r="L38" s="20">
        <f>IF(OR(K38="",J38=""),"",WORKDAY(K38,J38-1))</f>
        <v/>
      </c>
      <c r="M38" s="5" t="inlineStr">
        <is>
          <t>Tentative — our estimate</t>
        </is>
      </c>
      <c r="N38" s="5" t="inlineStr">
        <is>
          <t>G2, Q15</t>
        </is>
      </c>
      <c r="O38" s="5" t="inlineStr">
        <is>
          <t>Agent responsibility matrix</t>
        </is>
      </c>
      <c r="P38" s="5" t="inlineStr">
        <is>
          <t>Five agents named in the brief; today's widget is keyword matching.</t>
        </is>
      </c>
      <c r="Q38" s="5" t="inlineStr">
        <is>
          <t>—</t>
        </is>
      </c>
    </row>
    <row r="39" ht="24.85" customHeight="1">
      <c r="A39" s="4" t="inlineStr">
        <is>
          <t>4.2</t>
        </is>
      </c>
      <c r="B39" s="5" t="inlineStr">
        <is>
          <t>P4 · AI, Testing &amp; Final Demo</t>
        </is>
      </c>
      <c r="C39" s="5" t="inlineStr">
        <is>
          <t>Activity</t>
        </is>
      </c>
      <c r="D39" s="4" t="inlineStr">
        <is>
          <t>Implement agentic recommendations</t>
        </is>
      </c>
      <c r="E39" s="5" t="inlineStr">
        <is>
          <t>Team tracker</t>
        </is>
      </c>
      <c r="F39" s="5" t="inlineStr">
        <is>
          <t>Connect agents to business rules/data and generate explainable recommendations.</t>
        </is>
      </c>
      <c r="G39" s="5" t="inlineStr">
        <is>
          <t>Do recommendations lead to an actionable decision?</t>
        </is>
      </c>
      <c r="H39" s="10" t="inlineStr">
        <is>
          <t>AI/Tech Lead</t>
        </is>
      </c>
      <c r="I39" s="5" t="inlineStr">
        <is>
          <t>Not started</t>
        </is>
      </c>
      <c r="J39" s="14" t="n">
        <v>5</v>
      </c>
      <c r="K39" s="20">
        <f>WORKDAY(MAX(L35,L38),1)</f>
        <v/>
      </c>
      <c r="L39" s="20">
        <f>IF(OR(K39="",J39=""),"",WORKDAY(K39,J39-1))</f>
        <v/>
      </c>
      <c r="M39" s="5" t="inlineStr">
        <is>
          <t>Tentative — original plan (1 week)</t>
        </is>
      </c>
      <c r="N39" s="5" t="inlineStr">
        <is>
          <t>3.8, 4.1, Q10</t>
        </is>
      </c>
      <c r="O39" s="5" t="inlineStr">
        <is>
          <t>Agent-enabled prototype</t>
        </is>
      </c>
      <c r="P39" s="5" t="inlineStr">
        <is>
          <t>No model is called today.</t>
        </is>
      </c>
      <c r="Q39" s="5" t="inlineStr">
        <is>
          <t>—</t>
        </is>
      </c>
    </row>
    <row r="40" ht="24.85" customHeight="1">
      <c r="A40" s="4" t="inlineStr">
        <is>
          <t>4.3</t>
        </is>
      </c>
      <c r="B40" s="5" t="inlineStr">
        <is>
          <t>P4 · AI, Testing &amp; Final Demo</t>
        </is>
      </c>
      <c r="C40" s="5" t="inlineStr">
        <is>
          <t>Activity</t>
        </is>
      </c>
      <c r="D40" s="4" t="inlineStr">
        <is>
          <t>End-to-end scenario testing</t>
        </is>
      </c>
      <c r="E40" s="5" t="inlineStr">
        <is>
          <t>Team tracker</t>
        </is>
      </c>
      <c r="F40" s="5" t="inlineStr">
        <is>
          <t>Test a complete portfolio/launch/rationalization scenario from signal to decision.</t>
        </is>
      </c>
      <c r="G40" s="5" t="inlineStr">
        <is>
          <t>Can a VP move from insight to action in one flow?</t>
        </is>
      </c>
      <c r="H40" s="10" t="inlineStr">
        <is>
          <t>QA + Product</t>
        </is>
      </c>
      <c r="I40" s="5" t="inlineStr">
        <is>
          <t>Not started</t>
        </is>
      </c>
      <c r="J40" s="14" t="n">
        <v>3</v>
      </c>
      <c r="K40" s="20">
        <f>WORKDAY(MAX(L37,L39),1)</f>
        <v/>
      </c>
      <c r="L40" s="20">
        <f>IF(OR(K40="",J40=""),"",WORKDAY(K40,J40-1))</f>
        <v/>
      </c>
      <c r="M40" s="5" t="inlineStr">
        <is>
          <t>Tentative — original plan (testing, 1 week)</t>
        </is>
      </c>
      <c r="N40" s="5" t="inlineStr">
        <is>
          <t>G3, 4.2</t>
        </is>
      </c>
      <c r="O40" s="5" t="inlineStr">
        <is>
          <t>Validated end-to-end scenario</t>
        </is>
      </c>
      <c r="P40" s="5" t="inlineStr">
        <is>
          <t>Foundations: 16 data checks and a browser smoke test (27/27). Tabs 9–11 are not smoke tested.</t>
        </is>
      </c>
      <c r="Q40" s="5" t="inlineStr">
        <is>
          <t>scripts/smoke.mjs</t>
        </is>
      </c>
    </row>
    <row r="41" ht="24.85" customHeight="1">
      <c r="A41" s="4" t="inlineStr">
        <is>
          <t>4.4</t>
        </is>
      </c>
      <c r="B41" s="5" t="inlineStr">
        <is>
          <t>P4 · AI, Testing &amp; Final Demo</t>
        </is>
      </c>
      <c r="C41" s="5" t="inlineStr">
        <is>
          <t>Activity</t>
        </is>
      </c>
      <c r="D41" s="4" t="inlineStr">
        <is>
          <t>UX and KPI validation</t>
        </is>
      </c>
      <c r="E41" s="5" t="inlineStr">
        <is>
          <t>Team tracker</t>
        </is>
      </c>
      <c r="F41" s="5" t="inlineStr">
        <is>
          <t>Check usability, KPI correctness, assumptions and consistency across tabs.</t>
        </is>
      </c>
      <c r="G41" s="5" t="inlineStr">
        <is>
          <t>Are the outputs understandable and defensible?</t>
        </is>
      </c>
      <c r="H41" s="10" t="inlineStr">
        <is>
          <t>QA Lead</t>
        </is>
      </c>
      <c r="I41" s="5" t="inlineStr">
        <is>
          <t>Not started</t>
        </is>
      </c>
      <c r="J41" s="14" t="n">
        <v>2</v>
      </c>
      <c r="K41" s="20">
        <f>WORKDAY(L40,1)</f>
        <v/>
      </c>
      <c r="L41" s="20">
        <f>IF(OR(K41="",J41=""),"",WORKDAY(K41,J41-1))</f>
        <v/>
      </c>
      <c r="M41" s="5" t="inlineStr">
        <is>
          <t>Tentative — original plan (testing, 1 week)</t>
        </is>
      </c>
      <c r="N41" s="5" t="inlineStr">
        <is>
          <t>4.3</t>
        </is>
      </c>
      <c r="O41" s="5" t="inlineStr">
        <is>
          <t>QA checklist + fixes</t>
        </is>
      </c>
      <c r="P41" s="5" t="inlineStr">
        <is>
          <t>—</t>
        </is>
      </c>
      <c r="Q41" s="5" t="inlineStr">
        <is>
          <t>—</t>
        </is>
      </c>
    </row>
    <row r="42" ht="24.85" customHeight="1">
      <c r="A42" s="4" t="inlineStr">
        <is>
          <t>4.5</t>
        </is>
      </c>
      <c r="B42" s="5" t="inlineStr">
        <is>
          <t>P4 · AI, Testing &amp; Final Demo</t>
        </is>
      </c>
      <c r="C42" s="5" t="inlineStr">
        <is>
          <t>Activity</t>
        </is>
      </c>
      <c r="D42" s="4" t="inlineStr">
        <is>
          <t>Final demo storyline</t>
        </is>
      </c>
      <c r="E42" s="5" t="inlineStr">
        <is>
          <t>Team tracker</t>
        </is>
      </c>
      <c r="F42" s="5" t="inlineStr">
        <is>
          <t>Create a 10–15 minute VP-focused journey from problem to recommendation and outcome.</t>
        </is>
      </c>
      <c r="G42" s="5" t="inlineStr">
        <is>
          <t>Does every tab earn its place and support a decision?</t>
        </is>
      </c>
      <c r="H42" s="10" t="inlineStr">
        <is>
          <t>Team Lead</t>
        </is>
      </c>
      <c r="I42" s="5" t="inlineStr">
        <is>
          <t>Not started</t>
        </is>
      </c>
      <c r="J42" s="14" t="n">
        <v>2</v>
      </c>
      <c r="K42" s="20">
        <f>WORKDAY(L41,1)</f>
        <v/>
      </c>
      <c r="L42" s="20">
        <f>IF(OR(K42="",J42=""),"",WORKDAY(K42,J42-1))</f>
        <v/>
      </c>
      <c r="M42" s="5" t="inlineStr">
        <is>
          <t>Tentative — our estimate</t>
        </is>
      </c>
      <c r="N42" s="5" t="inlineStr">
        <is>
          <t>4.4, Q9</t>
        </is>
      </c>
      <c r="O42" s="5" t="inlineStr">
        <is>
          <t>Final demo script + slides</t>
        </is>
      </c>
      <c r="P42" s="5" t="inlineStr">
        <is>
          <t>Use the end-to-end decision journey as the script.</t>
        </is>
      </c>
      <c r="Q42" s="5" t="inlineStr">
        <is>
          <t>Personas &amp; Journey tab</t>
        </is>
      </c>
    </row>
    <row r="43" ht="24.85" customHeight="1">
      <c r="A43" s="4" t="inlineStr">
        <is>
          <t>4.6</t>
        </is>
      </c>
      <c r="B43" s="5" t="inlineStr">
        <is>
          <t>P4 · AI, Testing &amp; Final Demo</t>
        </is>
      </c>
      <c r="C43" s="5" t="inlineStr">
        <is>
          <t>Activity</t>
        </is>
      </c>
      <c r="D43" s="4" t="inlineStr">
        <is>
          <t>Final review and handover</t>
        </is>
      </c>
      <c r="E43" s="5" t="inlineStr">
        <is>
          <t>Team tracker</t>
        </is>
      </c>
      <c r="F43" s="5" t="inlineStr">
        <is>
          <t>Close open issues, document assumptions and prepare final submission.</t>
        </is>
      </c>
      <c r="G43" s="5" t="inlineStr">
        <is>
          <t>What remains unresolved? Are all scope/KPI/agent requirements covered?</t>
        </is>
      </c>
      <c r="H43" s="10" t="inlineStr">
        <is>
          <t>Team Lead</t>
        </is>
      </c>
      <c r="I43" s="5" t="inlineStr">
        <is>
          <t>Not started</t>
        </is>
      </c>
      <c r="J43" s="14" t="n">
        <v>2</v>
      </c>
      <c r="K43" s="20">
        <f>IF(COUNT(L42,L44)=0,"",WORKDAY(MAX(L42,L44),1))</f>
        <v/>
      </c>
      <c r="L43" s="20">
        <f>IF(OR(K43="",J43=""),"",WORKDAY(K43,J43-1))</f>
        <v/>
      </c>
      <c r="M43" s="5" t="inlineStr">
        <is>
          <t>Tentative — our estimate</t>
        </is>
      </c>
      <c r="N43" s="5" t="inlineStr">
        <is>
          <t>4.5, 4.7</t>
        </is>
      </c>
      <c r="O43" s="5" t="inlineStr">
        <is>
          <t>Final prototype + documentation</t>
        </is>
      </c>
      <c r="P43" s="5" t="inlineStr">
        <is>
          <t>—</t>
        </is>
      </c>
      <c r="Q43" s="5" t="inlineStr">
        <is>
          <t>—</t>
        </is>
      </c>
    </row>
    <row r="44" ht="24.85" customHeight="1">
      <c r="A44" s="4" t="inlineStr">
        <is>
          <t>4.7</t>
        </is>
      </c>
      <c r="B44" s="5" t="inlineStr">
        <is>
          <t>P4 · AI, Testing &amp; Final Demo</t>
        </is>
      </c>
      <c r="C44" s="5" t="inlineStr">
        <is>
          <t>Activity</t>
        </is>
      </c>
      <c r="D44" s="4" t="inlineStr">
        <is>
          <t>Deployment</t>
        </is>
      </c>
      <c r="E44" s="5" t="inlineStr">
        <is>
          <t>Original 16-phase plan</t>
        </is>
      </c>
      <c r="F44" s="5" t="inlineStr">
        <is>
          <t>Host the frontend, API and database for the demo.</t>
        </is>
      </c>
      <c r="G44" s="5" t="inlineStr">
        <is>
          <t>Is the demo URL stable and the data current?</t>
        </is>
      </c>
      <c r="H44" s="10" t="n"/>
      <c r="I44" s="5" t="inlineStr">
        <is>
          <t>Not started</t>
        </is>
      </c>
      <c r="J44" s="5" t="n"/>
      <c r="K44" s="20">
        <f>WORKDAY(L41,1)</f>
        <v/>
      </c>
      <c r="L44" s="20">
        <f>IF(OR(K44="",J44=""),"",WORKDAY(K44,J44-1))</f>
        <v/>
      </c>
      <c r="M44" s="5" t="inlineStr">
        <is>
          <t>Tentative — needs a duration (original: TBD)</t>
        </is>
      </c>
      <c r="N44" s="5" t="inlineStr">
        <is>
          <t>4.4, Q10</t>
        </is>
      </c>
      <c r="O44" s="5" t="inlineStr">
        <is>
          <t>Frontend, API and database hosted; demo URL stable.</t>
        </is>
      </c>
      <c r="P44" s="5" t="inlineStr">
        <is>
          <t>Frontend on Vercel as a static site. Enter a duration in column J to schedule it.</t>
        </is>
      </c>
      <c r="Q44" s="5" t="inlineStr">
        <is>
          <t>Links tab</t>
        </is>
      </c>
    </row>
    <row r="45" ht="24.85" customHeight="1">
      <c r="A45" s="15" t="inlineStr">
        <is>
          <t>G4</t>
        </is>
      </c>
      <c r="B45" s="16" t="inlineStr">
        <is>
          <t>P4 · AI, Testing &amp; Final Demo</t>
        </is>
      </c>
      <c r="C45" s="16" t="inlineStr">
        <is>
          <t>Gate</t>
        </is>
      </c>
      <c r="D45" s="15" t="inlineStr">
        <is>
          <t>Gate 4 — Final demo</t>
        </is>
      </c>
      <c r="E45" s="16" t="inlineStr">
        <is>
          <t>Team tracker</t>
        </is>
      </c>
      <c r="F45" s="16" t="inlineStr">
        <is>
          <t>Agents + simulation + testing + VP decision journey</t>
        </is>
      </c>
      <c r="G45" s="16" t="inlineStr">
        <is>
          <t>—</t>
        </is>
      </c>
      <c r="H45" s="16" t="n"/>
      <c r="I45" s="5" t="inlineStr">
        <is>
          <t>Not started</t>
        </is>
      </c>
      <c r="J45" s="16" t="n"/>
      <c r="K45" s="23" t="n"/>
      <c r="L45" s="23">
        <f>IF(L43="","",WORKDAY(L43,1))</f>
        <v/>
      </c>
      <c r="M45" s="16" t="inlineStr">
        <is>
          <t>Tentative</t>
        </is>
      </c>
      <c r="N45" s="16" t="inlineStr">
        <is>
          <t>4.1–4.7, Q9</t>
        </is>
      </c>
      <c r="O45" s="16" t="inlineStr">
        <is>
          <t>Agents + simulation + testing + VP decision journey</t>
        </is>
      </c>
      <c r="P45" s="16" t="inlineStr">
        <is>
          <t>No deadline set (confirmed 22 Sep). This is the earliest date at the durations above.</t>
        </is>
      </c>
      <c r="Q45" s="16" t="inlineStr">
        <is>
          <t>—</t>
        </is>
      </c>
    </row>
    <row r="46" ht="24.85" customHeight="1">
      <c r="A46" s="4" t="inlineStr">
        <is>
          <t>4.8</t>
        </is>
      </c>
      <c r="B46" s="5" t="inlineStr">
        <is>
          <t>P4 · AI, Testing &amp; Final Demo</t>
        </is>
      </c>
      <c r="C46" s="5" t="inlineStr">
        <is>
          <t>Activity</t>
        </is>
      </c>
      <c r="D46" s="4" t="inlineStr">
        <is>
          <t>Enhancement / production roadmap</t>
        </is>
      </c>
      <c r="E46" s="5" t="inlineStr">
        <is>
          <t>Original 16-phase plan</t>
        </is>
      </c>
      <c r="F46" s="5" t="inlineStr">
        <is>
          <t>Plan what comes after the demo.</t>
        </is>
      </c>
      <c r="G46" s="5" t="inlineStr">
        <is>
          <t>What does the agreed positioning need next?</t>
        </is>
      </c>
      <c r="H46" s="10" t="n"/>
      <c r="I46" s="5" t="inlineStr">
        <is>
          <t>Not started</t>
        </is>
      </c>
      <c r="J46" s="5" t="n"/>
      <c r="K46" s="20">
        <f>IF(L45="","",WORKDAY(L45,1))</f>
        <v/>
      </c>
      <c r="L46" s="20">
        <f>IF(OR(K46="",J46=""),"",WORKDAY(K46,J46-1))</f>
        <v/>
      </c>
      <c r="M46" s="5" t="inlineStr">
        <is>
          <t>Tentative (original: TBD)</t>
        </is>
      </c>
      <c r="N46" s="5" t="inlineStr">
        <is>
          <t>G4, Q1</t>
        </is>
      </c>
      <c r="O46" s="5" t="inlineStr">
        <is>
          <t>Roadmap agreed for the chosen positioning.</t>
        </is>
      </c>
      <c r="P46" s="5" t="inlineStr">
        <is>
          <t>Depends on Q1 — a demo asset and a product have very different roadmaps.</t>
        </is>
      </c>
      <c r="Q46" s="5" t="inlineStr">
        <is>
          <t>—</t>
        </is>
      </c>
    </row>
  </sheetData>
  <autoFilter ref="A4:Q46"/>
  <conditionalFormatting sqref="I5:I46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"At risk"</formula>
    </cfRule>
    <cfRule type="cellIs" priority="5" operator="equal" dxfId="4">
      <formula>"Rework needed"</formula>
    </cfRule>
    <cfRule type="cellIs" priority="6" operator="equal" dxfId="5">
      <formula>"Done"</formula>
    </cfRule>
    <cfRule type="cellIs" priority="7" operator="equal" dxfId="6">
      <formula>"N/A — confirm"</formula>
    </cfRule>
  </conditionalFormatting>
  <conditionalFormatting sqref="K5:L46">
    <cfRule type="expression" priority="8" dxfId="7">
      <formula>LEFT($M5,9)="Tentative"</formula>
    </cfRule>
  </conditionalFormatting>
  <dataValidations count="1">
    <dataValidation sqref="I5:I46" showDropDown="0" showInputMessage="0" showErrorMessage="0" allowBlank="1" type="list">
      <formula1>"Not started,In progress,Blocked,At risk,Rework needed,Done,N/A — confirm"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1:K36"/>
  <sheetViews>
    <sheetView showGridLines="0" tabSelected="1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4" sqref="A4:K27"/>
    </sheetView>
  </sheetViews>
  <sheetFormatPr baseColWidth="8" defaultColWidth="9" defaultRowHeight="14.55"/>
  <cols>
    <col width="16" customWidth="1" min="1" max="1"/>
    <col width="22" customWidth="1" min="2" max="2"/>
    <col width="20" customWidth="1" min="3" max="3"/>
    <col width="34" customWidth="1" min="4" max="4"/>
    <col width="46" customWidth="1" min="5" max="5"/>
    <col width="12" customWidth="1" min="6" max="6"/>
    <col width="10" customWidth="1" min="7" max="7"/>
    <col width="24" customWidth="1" min="8" max="8"/>
    <col width="14" customWidth="1" min="9" max="10"/>
    <col width="44" customWidth="1" min="11" max="11"/>
  </cols>
  <sheetData>
    <row r="1" ht="20.1" customHeight="1">
      <c r="A1" s="1" t="inlineStr">
        <is>
          <t>Daily Task Log</t>
        </is>
      </c>
    </row>
    <row r="2">
      <c r="A2" s="2" t="inlineStr">
        <is>
          <t>Retrospective — every entry below is completed work, logged after the fact. No formal daily plan existed before this sheet, so Planned EOD equals Actual EOD throughout; going forward, set Planned EOD before the day starts.</t>
        </is>
      </c>
    </row>
    <row r="4">
      <c r="A4" s="3" t="inlineStr">
        <is>
          <t>Date</t>
        </is>
      </c>
      <c r="B4" s="3" t="inlineStr">
        <is>
          <t>Team Member</t>
        </is>
      </c>
      <c r="C4" s="3" t="inlineStr">
        <is>
          <t>Workstream / Module</t>
        </is>
      </c>
      <c r="D4" s="3" t="inlineStr">
        <is>
          <t>Task / Activity</t>
        </is>
      </c>
      <c r="E4" s="3" t="inlineStr">
        <is>
          <t>What Needs to Be Done</t>
        </is>
      </c>
      <c r="F4" s="3" t="inlineStr">
        <is>
          <t>Status</t>
        </is>
      </c>
      <c r="G4" s="3" t="inlineStr">
        <is>
          <t>Priority</t>
        </is>
      </c>
      <c r="H4" s="3" t="inlineStr">
        <is>
          <t>Dependency / Blocker</t>
        </is>
      </c>
      <c r="I4" s="3" t="inlineStr">
        <is>
          <t>Planned EOD</t>
        </is>
      </c>
      <c r="J4" s="3" t="inlineStr">
        <is>
          <t>Actual EOD</t>
        </is>
      </c>
      <c r="K4" s="3" t="inlineStr">
        <is>
          <t>Remarks</t>
        </is>
      </c>
    </row>
    <row r="5" ht="24.85" customHeight="1">
      <c r="A5" s="4" t="inlineStr">
        <is>
          <t>18 May 2026</t>
        </is>
      </c>
      <c r="B5" s="5" t="inlineStr">
        <is>
          <t>Jaiadithya A / acies-Jai</t>
        </is>
      </c>
      <c r="C5" s="5" t="inlineStr">
        <is>
          <t>Frontend Build</t>
        </is>
      </c>
      <c r="D5" s="4" t="inlineStr">
        <is>
          <t>Repository and application scaffold</t>
        </is>
      </c>
      <c r="E5" s="5" t="inlineStr">
        <is>
          <t>Stand up the React/Vite/Tailwind shell, 3-persona welcome gate, initial tab routing</t>
        </is>
      </c>
      <c r="F5" s="5" t="inlineStr">
        <is>
          <t>Done</t>
        </is>
      </c>
      <c r="G5" s="5" t="inlineStr">
        <is>
          <t>High</t>
        </is>
      </c>
      <c r="H5" s="5" t="inlineStr">
        <is>
          <t>None</t>
        </is>
      </c>
      <c r="I5" s="5" t="inlineStr">
        <is>
          <t>—</t>
        </is>
      </c>
      <c r="J5" s="5" t="inlineStr">
        <is>
          <t>20 May 2026</t>
        </is>
      </c>
      <c r="K5" s="5" t="inlineStr">
        <is>
          <t>Inherited — first commits of the project</t>
        </is>
      </c>
    </row>
    <row r="6" ht="37.3" customHeight="1">
      <c r="A6" s="4" t="inlineStr">
        <is>
          <t>21 May – 27 Jul 2026</t>
        </is>
      </c>
      <c r="B6" s="5" t="inlineStr">
        <is>
          <t>Amita, SreeVyshnavi, acies-Jai</t>
        </is>
      </c>
      <c r="C6" s="5" t="inlineStr">
        <is>
          <t>Frontend Build</t>
        </is>
      </c>
      <c r="D6" s="4" t="inlineStr">
        <is>
          <t>Build all 12 tabs, KPI cards, simulators, agent widget</t>
        </is>
      </c>
      <c r="E6" s="5" t="inlineStr">
        <is>
          <t>Deliver the full dashboard surface: Portfolio Health, Launch Readiness, Profitability, SKU Rationalization, Signals, plus supporting modals</t>
        </is>
      </c>
      <c r="F6" s="5" t="inlineStr">
        <is>
          <t>Done</t>
        </is>
      </c>
      <c r="G6" s="5" t="inlineStr">
        <is>
          <t>High</t>
        </is>
      </c>
      <c r="H6" s="5" t="inlineStr">
        <is>
          <t>None</t>
        </is>
      </c>
      <c r="I6" s="5" t="inlineStr">
        <is>
          <t>—</t>
        </is>
      </c>
      <c r="J6" s="5" t="inlineStr">
        <is>
          <t>27 Jul 2026</t>
        </is>
      </c>
      <c r="K6" s="5" t="inlineStr">
        <is>
          <t>369 commits, 4 contributors — compressed to one row; see Timeline tab for detail. Repository then idle 27 Jul – 1 Sep.</t>
        </is>
      </c>
    </row>
    <row r="7" ht="24.85" customHeight="1">
      <c r="A7" s="4" t="inlineStr">
        <is>
          <t>1 Sep 2026</t>
        </is>
      </c>
      <c r="B7" s="5" t="inlineStr">
        <is>
          <t>Guna</t>
        </is>
      </c>
      <c r="C7" s="5" t="inlineStr">
        <is>
          <t>Codebase Remediation</t>
        </is>
      </c>
      <c r="D7" s="4" t="inlineStr">
        <is>
          <t>Restore type safety, split bundle, extract shared primitives</t>
        </is>
      </c>
      <c r="E7" s="5" t="inlineStr">
        <is>
          <t>Re-enable TypeScript checking (bypassed by the previous team); break up the monolithic bundle</t>
        </is>
      </c>
      <c r="F7" s="5" t="inlineStr">
        <is>
          <t>Done</t>
        </is>
      </c>
      <c r="G7" s="5" t="inlineStr">
        <is>
          <t>High</t>
        </is>
      </c>
      <c r="H7" s="5" t="inlineStr">
        <is>
          <t>None</t>
        </is>
      </c>
      <c r="I7" s="5" t="inlineStr">
        <is>
          <t>1 Sep 2026</t>
        </is>
      </c>
      <c r="J7" s="5" t="inlineStr">
        <is>
          <t>1 Sep 2026</t>
        </is>
      </c>
      <c r="K7" s="5" t="inlineStr">
        <is>
          <t>First commit of the remediation phase</t>
        </is>
      </c>
    </row>
    <row r="8" ht="24.85" customHeight="1">
      <c r="A8" s="4" t="inlineStr">
        <is>
          <t>1 Sep 2026</t>
        </is>
      </c>
      <c r="B8" s="5" t="inlineStr">
        <is>
          <t>Guna</t>
        </is>
      </c>
      <c r="C8" s="5" t="inlineStr">
        <is>
          <t>Codebase Remediation</t>
        </is>
      </c>
      <c r="D8" s="4" t="inlineStr">
        <is>
          <t>Repair 1,237 invalid Tailwind colour classes</t>
        </is>
      </c>
      <c r="E8" s="5" t="inlineStr">
        <is>
          <t>Fix broken utility classes across 63 files so styling actually applies</t>
        </is>
      </c>
      <c r="F8" s="5" t="inlineStr">
        <is>
          <t>Done</t>
        </is>
      </c>
      <c r="G8" s="5" t="inlineStr">
        <is>
          <t>Medium</t>
        </is>
      </c>
      <c r="H8" s="5" t="inlineStr">
        <is>
          <t>None</t>
        </is>
      </c>
      <c r="I8" s="5" t="inlineStr">
        <is>
          <t>1 Sep 2026</t>
        </is>
      </c>
      <c r="J8" s="5" t="inlineStr">
        <is>
          <t>1 Sep 2026</t>
        </is>
      </c>
      <c r="K8" s="5" t="inlineStr"/>
    </row>
    <row r="9" ht="24.85" customHeight="1">
      <c r="A9" s="4" t="inlineStr">
        <is>
          <t>1 Sep 2026</t>
        </is>
      </c>
      <c r="B9" s="5" t="inlineStr">
        <is>
          <t>Guna</t>
        </is>
      </c>
      <c r="C9" s="5" t="inlineStr">
        <is>
          <t>Codebase Remediation</t>
        </is>
      </c>
      <c r="D9" s="4" t="inlineStr">
        <is>
          <t>Route all 43 overlays through shared modal primitives</t>
        </is>
      </c>
      <c r="E9" s="5" t="inlineStr">
        <is>
          <t>Deduplicate modal/overlay implementations onto one shared component set</t>
        </is>
      </c>
      <c r="F9" s="5" t="inlineStr">
        <is>
          <t>Done</t>
        </is>
      </c>
      <c r="G9" s="5" t="inlineStr">
        <is>
          <t>Medium</t>
        </is>
      </c>
      <c r="H9" s="5" t="inlineStr">
        <is>
          <t>None</t>
        </is>
      </c>
      <c r="I9" s="5" t="inlineStr">
        <is>
          <t>1 Sep 2026</t>
        </is>
      </c>
      <c r="J9" s="5" t="inlineStr">
        <is>
          <t>1 Sep 2026</t>
        </is>
      </c>
      <c r="K9" s="5" t="inlineStr"/>
    </row>
    <row r="10" ht="37.3" customHeight="1">
      <c r="A10" s="4" t="inlineStr">
        <is>
          <t>9 Sep 2026</t>
        </is>
      </c>
      <c r="B10" s="5" t="inlineStr">
        <is>
          <t>Guna</t>
        </is>
      </c>
      <c r="C10" s="5" t="inlineStr">
        <is>
          <t>Dataset Generation</t>
        </is>
      </c>
      <c r="D10" s="4" t="inlineStr">
        <is>
          <t>Search for a usable real dataset</t>
        </is>
      </c>
      <c r="E10" s="5" t="inlineStr">
        <is>
          <t>Determine whether real transaction-level data exists to ground the app's metrics</t>
        </is>
      </c>
      <c r="F10" s="5" t="inlineStr">
        <is>
          <t>Done</t>
        </is>
      </c>
      <c r="G10" s="5" t="inlineStr">
        <is>
          <t>High</t>
        </is>
      </c>
      <c r="H10" s="5" t="inlineStr">
        <is>
          <t>None</t>
        </is>
      </c>
      <c r="I10" s="5" t="inlineStr">
        <is>
          <t>9 Sep 2026</t>
        </is>
      </c>
      <c r="J10" s="5" t="inlineStr">
        <is>
          <t>9 Sep 2026</t>
        </is>
      </c>
      <c r="K10" s="5" t="inlineStr">
        <is>
          <t>None found — only aggregate notebook outputs. Decided to generate a synthetic dataset instead (Decision D1).</t>
        </is>
      </c>
    </row>
    <row r="11" ht="24.85" customHeight="1">
      <c r="A11" s="4" t="inlineStr">
        <is>
          <t>14 Sep 2026</t>
        </is>
      </c>
      <c r="B11" s="5" t="inlineStr">
        <is>
          <t>Guna</t>
        </is>
      </c>
      <c r="C11" s="5" t="inlineStr">
        <is>
          <t>Dataset Generation</t>
        </is>
      </c>
      <c r="D11" s="4" t="inlineStr">
        <is>
          <t>Build and validate the synthetic FMCG dataset</t>
        </is>
      </c>
      <c r="E11" s="5" t="inlineStr">
        <is>
          <t>Generate 119 SKUs x 7 countries x 4 channels x 2 years, seeded, reconciling to the source figures</t>
        </is>
      </c>
      <c r="F11" s="5" t="inlineStr">
        <is>
          <t>Done</t>
        </is>
      </c>
      <c r="G11" s="5" t="inlineStr">
        <is>
          <t>High</t>
        </is>
      </c>
      <c r="H11" s="5" t="inlineStr">
        <is>
          <t>Dataset search (row above)</t>
        </is>
      </c>
      <c r="I11" s="5" t="inlineStr">
        <is>
          <t>14 Sep 2026</t>
        </is>
      </c>
      <c r="J11" s="5" t="inlineStr">
        <is>
          <t>14 Sep 2026</t>
        </is>
      </c>
      <c r="K11" s="5" t="inlineStr">
        <is>
          <t>368,013 fact rows; 16 of 16 validation targets met</t>
        </is>
      </c>
    </row>
    <row r="12" ht="24.85" customHeight="1">
      <c r="A12" s="4" t="inlineStr">
        <is>
          <t>14 Sep 2026</t>
        </is>
      </c>
      <c r="B12" s="5" t="inlineStr">
        <is>
          <t>Guna</t>
        </is>
      </c>
      <c r="C12" s="5" t="inlineStr">
        <is>
          <t>Documentation</t>
        </is>
      </c>
      <c r="D12" s="4" t="inlineStr">
        <is>
          <t>Write data model specification and generation plan</t>
        </is>
      </c>
      <c r="E12" s="5" t="inlineStr">
        <is>
          <t>Document the 13-table schema (types, keys, grain) and the generation rules before building the database</t>
        </is>
      </c>
      <c r="F12" s="5" t="inlineStr">
        <is>
          <t>Done</t>
        </is>
      </c>
      <c r="G12" s="5" t="inlineStr">
        <is>
          <t>High</t>
        </is>
      </c>
      <c r="H12" s="5" t="inlineStr">
        <is>
          <t>None</t>
        </is>
      </c>
      <c r="I12" s="5" t="inlineStr">
        <is>
          <t>14 Sep 2026</t>
        </is>
      </c>
      <c r="J12" s="5" t="inlineStr">
        <is>
          <t>14 Sep 2026</t>
        </is>
      </c>
      <c r="K12" s="5" t="inlineStr"/>
    </row>
    <row r="13">
      <c r="A13" s="4" t="inlineStr">
        <is>
          <t>17 Sep 2026</t>
        </is>
      </c>
      <c r="B13" s="5" t="inlineStr">
        <is>
          <t>Guna</t>
        </is>
      </c>
      <c r="C13" s="5" t="inlineStr">
        <is>
          <t>Product Research</t>
        </is>
      </c>
      <c r="D13" s="4" t="inlineStr">
        <is>
          <t>Publish Report 1 — Metric Dictionary</t>
        </is>
      </c>
      <c r="E13" s="5" t="inlineStr">
        <is>
          <t>Define every displayed metric and justify why it's calculated</t>
        </is>
      </c>
      <c r="F13" s="5" t="inlineStr">
        <is>
          <t>Done</t>
        </is>
      </c>
      <c r="G13" s="5" t="inlineStr">
        <is>
          <t>High</t>
        </is>
      </c>
      <c r="H13" s="5" t="inlineStr">
        <is>
          <t>None</t>
        </is>
      </c>
      <c r="I13" s="5" t="inlineStr">
        <is>
          <t>17 Sep 2026</t>
        </is>
      </c>
      <c r="J13" s="5" t="inlineStr">
        <is>
          <t>17 Sep 2026</t>
        </is>
      </c>
      <c r="K13" s="5" t="inlineStr">
        <is>
          <t>Found only 2 of 6 required KPIs properly computed</t>
        </is>
      </c>
    </row>
    <row r="14" ht="24.85" customHeight="1">
      <c r="A14" s="4" t="inlineStr">
        <is>
          <t>17 Sep 2026</t>
        </is>
      </c>
      <c r="B14" s="5" t="inlineStr">
        <is>
          <t>Guna</t>
        </is>
      </c>
      <c r="C14" s="5" t="inlineStr">
        <is>
          <t>Product Research</t>
        </is>
      </c>
      <c r="D14" s="4" t="inlineStr">
        <is>
          <t>Publish Report 2 — Twelve Tabs to Five</t>
        </is>
      </c>
      <c r="E14" s="5" t="inlineStr">
        <is>
          <t>Audit all 12 tabs per persona and recommend which to keep</t>
        </is>
      </c>
      <c r="F14" s="5" t="inlineStr">
        <is>
          <t>Done</t>
        </is>
      </c>
      <c r="G14" s="5" t="inlineStr">
        <is>
          <t>High</t>
        </is>
      </c>
      <c r="H14" s="5" t="inlineStr">
        <is>
          <t>None</t>
        </is>
      </c>
      <c r="I14" s="5" t="inlineStr">
        <is>
          <t>17 Sep 2026</t>
        </is>
      </c>
      <c r="J14" s="5" t="inlineStr">
        <is>
          <t>17 Sep 2026</t>
        </is>
      </c>
      <c r="K14" s="5" t="inlineStr"/>
    </row>
    <row r="15" ht="24.85" customHeight="1">
      <c r="A15" s="4" t="inlineStr">
        <is>
          <t>17 Sep 2026</t>
        </is>
      </c>
      <c r="B15" s="5" t="inlineStr">
        <is>
          <t>Guna</t>
        </is>
      </c>
      <c r="C15" s="5" t="inlineStr">
        <is>
          <t>Product Research</t>
        </is>
      </c>
      <c r="D15" s="4" t="inlineStr">
        <is>
          <t>Publish Report 3 — Worth Building?</t>
        </is>
      </c>
      <c r="E15" s="5" t="inlineStr">
        <is>
          <t>Assess the competitive landscape and whether this is worth building</t>
        </is>
      </c>
      <c r="F15" s="5" t="inlineStr">
        <is>
          <t>Done</t>
        </is>
      </c>
      <c r="G15" s="5" t="inlineStr">
        <is>
          <t>Medium</t>
        </is>
      </c>
      <c r="H15" s="5" t="inlineStr">
        <is>
          <t>None</t>
        </is>
      </c>
      <c r="I15" s="5" t="inlineStr">
        <is>
          <t>17 Sep 2026</t>
        </is>
      </c>
      <c r="J15" s="5" t="inlineStr">
        <is>
          <t>17 Sep 2026</t>
        </is>
      </c>
      <c r="K15" s="5" t="inlineStr"/>
    </row>
    <row r="16" ht="24.85" customHeight="1">
      <c r="A16" s="4" t="inlineStr">
        <is>
          <t>20 Sep 2026</t>
        </is>
      </c>
      <c r="B16" s="5" t="inlineStr">
        <is>
          <t>Guna</t>
        </is>
      </c>
      <c r="C16" s="5" t="inlineStr">
        <is>
          <t>Codebase Remediation</t>
        </is>
      </c>
      <c r="D16" s="4" t="inlineStr">
        <is>
          <t>Repo cleanup, phases A–C</t>
        </is>
      </c>
      <c r="E16" s="5" t="inlineStr">
        <is>
          <t>Remove scratch files and dead code; split 9 oversized files into 30 modules</t>
        </is>
      </c>
      <c r="F16" s="5" t="inlineStr">
        <is>
          <t>Done</t>
        </is>
      </c>
      <c r="G16" s="5" t="inlineStr">
        <is>
          <t>High</t>
        </is>
      </c>
      <c r="H16" s="5" t="inlineStr">
        <is>
          <t>None</t>
        </is>
      </c>
      <c r="I16" s="5" t="inlineStr">
        <is>
          <t>20 Sep 2026</t>
        </is>
      </c>
      <c r="J16" s="5" t="inlineStr">
        <is>
          <t>20 Sep 2026</t>
        </is>
      </c>
      <c r="K16" s="5" t="inlineStr">
        <is>
          <t>187 files removed; 22,619 -&gt; 11,854 lines (-47%)</t>
        </is>
      </c>
    </row>
    <row r="17" ht="24.85" customHeight="1">
      <c r="A17" s="4" t="inlineStr">
        <is>
          <t>20 Sep 2026</t>
        </is>
      </c>
      <c r="B17" s="5" t="inlineStr">
        <is>
          <t>Guna</t>
        </is>
      </c>
      <c r="C17" s="5" t="inlineStr">
        <is>
          <t>Codebase Remediation</t>
        </is>
      </c>
      <c r="D17" s="4" t="inlineStr">
        <is>
          <t>Delete dead Express server and unused dependencies</t>
        </is>
      </c>
      <c r="E17" s="5" t="inlineStr">
        <is>
          <t>Confirm the backend language (Python/FastAPI) and remove the Node backend remnants</t>
        </is>
      </c>
      <c r="F17" s="5" t="inlineStr">
        <is>
          <t>Done</t>
        </is>
      </c>
      <c r="G17" s="5" t="inlineStr">
        <is>
          <t>Medium</t>
        </is>
      </c>
      <c r="H17" s="5" t="inlineStr">
        <is>
          <t>Backend language decision</t>
        </is>
      </c>
      <c r="I17" s="5" t="inlineStr">
        <is>
          <t>20 Sep 2026</t>
        </is>
      </c>
      <c r="J17" s="5" t="inlineStr">
        <is>
          <t>20 Sep 2026</t>
        </is>
      </c>
      <c r="K17" s="5" t="inlineStr">
        <is>
          <t>124 npm packages removed</t>
        </is>
      </c>
    </row>
    <row r="18" ht="24.85" customHeight="1">
      <c r="A18" s="4" t="inlineStr">
        <is>
          <t>20 Sep 2026</t>
        </is>
      </c>
      <c r="B18" s="5" t="inlineStr">
        <is>
          <t>Guna</t>
        </is>
      </c>
      <c r="C18" s="5" t="inlineStr">
        <is>
          <t>Database Setup</t>
        </is>
      </c>
      <c r="D18" s="4" t="inlineStr">
        <is>
          <t>Create PostgreSQL role and database; build the 13-table schema</t>
        </is>
      </c>
      <c r="E18" s="5" t="inlineStr">
        <is>
          <t>Stand up ppl_intelligence with a least-privilege application role</t>
        </is>
      </c>
      <c r="F18" s="5" t="inlineStr">
        <is>
          <t>Done</t>
        </is>
      </c>
      <c r="G18" s="5" t="inlineStr">
        <is>
          <t>High</t>
        </is>
      </c>
      <c r="H18" s="5" t="inlineStr">
        <is>
          <t>Postgres superuser password</t>
        </is>
      </c>
      <c r="I18" s="5" t="inlineStr">
        <is>
          <t>20 Sep 2026</t>
        </is>
      </c>
      <c r="J18" s="5" t="inlineStr">
        <is>
          <t>20 Sep 2026</t>
        </is>
      </c>
      <c r="K18" s="5" t="inlineStr">
        <is>
          <t>Fixed two real psql scripting bugs along the way</t>
        </is>
      </c>
    </row>
    <row r="19" ht="24.85" customHeight="1">
      <c r="A19" s="4" t="inlineStr">
        <is>
          <t>20 Sep 2026</t>
        </is>
      </c>
      <c r="B19" s="5" t="inlineStr">
        <is>
          <t>Guna</t>
        </is>
      </c>
      <c r="C19" s="5" t="inlineStr">
        <is>
          <t>Database Setup</t>
        </is>
      </c>
      <c r="D19" s="4" t="inlineStr">
        <is>
          <t>Load the generated dataset into PostgreSQL</t>
        </is>
      </c>
      <c r="E19" s="5" t="inlineStr">
        <is>
          <t>COPY all 13 tables in FK order and reconcile against the generator's targets</t>
        </is>
      </c>
      <c r="F19" s="5" t="inlineStr">
        <is>
          <t>Done</t>
        </is>
      </c>
      <c r="G19" s="5" t="inlineStr">
        <is>
          <t>High</t>
        </is>
      </c>
      <c r="H19" s="5" t="inlineStr">
        <is>
          <t>Schema built (row above)</t>
        </is>
      </c>
      <c r="I19" s="5" t="inlineStr">
        <is>
          <t>20 Sep 2026</t>
        </is>
      </c>
      <c r="J19" s="5" t="inlineStr">
        <is>
          <t>20 Sep 2026</t>
        </is>
      </c>
      <c r="K19" s="5" t="inlineStr">
        <is>
          <t>377,364 rows loaded in 44.9s; reconciles to $473.0M / +8.29% / 38.55%</t>
        </is>
      </c>
    </row>
    <row r="20" ht="24.85" customHeight="1">
      <c r="A20" s="4" t="inlineStr">
        <is>
          <t>20 Sep 2026</t>
        </is>
      </c>
      <c r="B20" s="5" t="inlineStr">
        <is>
          <t>Guna</t>
        </is>
      </c>
      <c r="C20" s="5" t="inlineStr">
        <is>
          <t>Architecture &amp; Planning</t>
        </is>
      </c>
      <c r="D20" s="4" t="inlineStr">
        <is>
          <t>Draw Now / Next / Future system architecture</t>
        </is>
      </c>
      <c r="E20" s="5" t="inlineStr">
        <is>
          <t>Document the current state, the trustworthy-demo target, and the long-term agentic target</t>
        </is>
      </c>
      <c r="F20" s="5" t="inlineStr">
        <is>
          <t>Done</t>
        </is>
      </c>
      <c r="G20" s="5" t="inlineStr">
        <is>
          <t>Medium</t>
        </is>
      </c>
      <c r="H20" s="5" t="inlineStr">
        <is>
          <t>None</t>
        </is>
      </c>
      <c r="I20" s="5" t="inlineStr">
        <is>
          <t>20 Sep 2026</t>
        </is>
      </c>
      <c r="J20" s="5" t="inlineStr">
        <is>
          <t>20 Sep 2026</t>
        </is>
      </c>
      <c r="K20" s="5" t="inlineStr">
        <is>
          <t>Excalidraw-ready Mermaid diagrams</t>
        </is>
      </c>
    </row>
    <row r="21" ht="24.85" customHeight="1">
      <c r="A21" s="4" t="inlineStr">
        <is>
          <t>21 Sep 2026</t>
        </is>
      </c>
      <c r="B21" s="5" t="inlineStr">
        <is>
          <t>Guna</t>
        </is>
      </c>
      <c r="C21" s="5" t="inlineStr">
        <is>
          <t>Stakeholder Prep</t>
        </is>
      </c>
      <c r="D21" s="4" t="inlineStr">
        <is>
          <t>Draft stakeholder pitch and 12 open questions</t>
        </is>
      </c>
      <c r="E21" s="5" t="inlineStr">
        <is>
          <t>Turn the three reports into a decision-ready document with a recommendation and a default per question</t>
        </is>
      </c>
      <c r="F21" s="5" t="inlineStr">
        <is>
          <t>Done</t>
        </is>
      </c>
      <c r="G21" s="5" t="inlineStr">
        <is>
          <t>High</t>
        </is>
      </c>
      <c r="H21" s="5" t="inlineStr">
        <is>
          <t>Reports 1-3</t>
        </is>
      </c>
      <c r="I21" s="5" t="inlineStr">
        <is>
          <t>21 Sep 2026</t>
        </is>
      </c>
      <c r="J21" s="5" t="inlineStr">
        <is>
          <t>21 Sep 2026</t>
        </is>
      </c>
      <c r="K21" s="5" t="inlineStr"/>
    </row>
    <row r="22" ht="37.3" customHeight="1">
      <c r="A22" s="4" t="inlineStr">
        <is>
          <t>22 Sep 2026</t>
        </is>
      </c>
      <c r="B22" s="5" t="inlineStr">
        <is>
          <t>Guna</t>
        </is>
      </c>
      <c r="C22" s="5" t="inlineStr">
        <is>
          <t>Project Tracking</t>
        </is>
      </c>
      <c r="D22" s="4" t="inlineStr">
        <is>
          <t>Build the merged project tracker</t>
        </is>
      </c>
      <c r="E22" s="5" t="inlineStr">
        <is>
          <t>Combine the team's P1-P4 plan, gap analyses and persona matrix with our data and architecture work into one tracker</t>
        </is>
      </c>
      <c r="F22" s="5" t="inlineStr">
        <is>
          <t>Done</t>
        </is>
      </c>
      <c r="G22" s="5" t="inlineStr">
        <is>
          <t>High</t>
        </is>
      </c>
      <c r="H22" s="5" t="inlineStr">
        <is>
          <t>Team tracker reviewed</t>
        </is>
      </c>
      <c r="I22" s="5" t="inlineStr">
        <is>
          <t>22 Sep 2026</t>
        </is>
      </c>
      <c r="J22" s="5" t="inlineStr">
        <is>
          <t>22 Sep 2026</t>
        </is>
      </c>
      <c r="K22" s="5" t="inlineStr">
        <is>
          <t>Replaced 5 competing plans in circulation</t>
        </is>
      </c>
    </row>
    <row r="23" ht="24.85" customHeight="1">
      <c r="A23" s="4" t="inlineStr">
        <is>
          <t>23 Sep 2026</t>
        </is>
      </c>
      <c r="B23" s="5" t="inlineStr">
        <is>
          <t>Guna</t>
        </is>
      </c>
      <c r="C23" s="5" t="inlineStr">
        <is>
          <t>Persona / UI Audit</t>
        </is>
      </c>
      <c r="D23" s="4" t="inlineStr">
        <is>
          <t>Publish the 'Nine Tabs, Zero Backend' tab audit</t>
        </is>
      </c>
      <c r="E23" s="5" t="inlineStr">
        <is>
          <t>Check what's built, real vs. fabricated data, and backend status for every tab and persona</t>
        </is>
      </c>
      <c r="F23" s="5" t="inlineStr">
        <is>
          <t>Done</t>
        </is>
      </c>
      <c r="G23" s="5" t="inlineStr">
        <is>
          <t>High</t>
        </is>
      </c>
      <c r="H23" s="5" t="inlineStr">
        <is>
          <t>None</t>
        </is>
      </c>
      <c r="I23" s="5" t="inlineStr">
        <is>
          <t>23 Sep 2026</t>
        </is>
      </c>
      <c r="J23" s="5" t="inlineStr">
        <is>
          <t>23 Sep 2026</t>
        </is>
      </c>
      <c r="K23" s="5" t="inlineStr"/>
    </row>
    <row r="24" ht="24.85" customHeight="1">
      <c r="A24" s="4" t="inlineStr">
        <is>
          <t>23 Sep 2026</t>
        </is>
      </c>
      <c r="B24" s="5" t="inlineStr">
        <is>
          <t>Guna</t>
        </is>
      </c>
      <c r="C24" s="5" t="inlineStr">
        <is>
          <t>Persona / UI Audit</t>
        </is>
      </c>
      <c r="D24" s="4" t="inlineStr">
        <is>
          <t>Prototype persona-specific sidebar ordering</t>
        </is>
      </c>
      <c r="E24" s="5" t="inlineStr">
        <is>
          <t>Reorder the 9 sidebar tabs per role using the persona matrix; revert the earlier landing-page change</t>
        </is>
      </c>
      <c r="F24" s="5" t="inlineStr">
        <is>
          <t>Done</t>
        </is>
      </c>
      <c r="G24" s="5" t="inlineStr">
        <is>
          <t>Medium</t>
        </is>
      </c>
      <c r="H24" s="5" t="inlineStr">
        <is>
          <t>Tab audit (row above)</t>
        </is>
      </c>
      <c r="I24" s="5" t="inlineStr">
        <is>
          <t>23 Sep 2026</t>
        </is>
      </c>
      <c r="J24" s="5" t="inlineStr">
        <is>
          <t>23 Sep 2026</t>
        </is>
      </c>
      <c r="K24" s="5" t="inlineStr">
        <is>
          <t>Found and logged a real bug: role does not update on hashchange (TODO.md O10)</t>
        </is>
      </c>
    </row>
    <row r="25" ht="37.3" customHeight="1">
      <c r="A25" s="4" t="inlineStr">
        <is>
          <t>23 Sep 2026</t>
        </is>
      </c>
      <c r="B25" s="5" t="inlineStr">
        <is>
          <t>Guna</t>
        </is>
      </c>
      <c r="C25" s="5" t="inlineStr">
        <is>
          <t>Metric Integrity Audit</t>
        </is>
      </c>
      <c r="D25" s="4" t="inlineStr">
        <is>
          <t>Catalogue every formula in the application</t>
        </is>
      </c>
      <c r="E25" s="5" t="inlineStr">
        <is>
          <t>Verify each displayed metric against source: real, real-formula-fake-input, or fabricated</t>
        </is>
      </c>
      <c r="F25" s="5" t="inlineStr">
        <is>
          <t>Done</t>
        </is>
      </c>
      <c r="G25" s="5" t="inlineStr">
        <is>
          <t>High</t>
        </is>
      </c>
      <c r="H25" s="5" t="inlineStr">
        <is>
          <t>None</t>
        </is>
      </c>
      <c r="I25" s="5" t="inlineStr">
        <is>
          <t>23 Sep 2026</t>
        </is>
      </c>
      <c r="J25" s="5" t="inlineStr">
        <is>
          <t>23 Sep 2026</t>
        </is>
      </c>
      <c r="K25" s="5" t="inlineStr">
        <is>
          <t>Found the timeline selector fabricates variance on every figure, including the 2 metrics previously found genuinely computed</t>
        </is>
      </c>
    </row>
    <row r="26" ht="24.85" customHeight="1">
      <c r="A26" s="4" t="inlineStr">
        <is>
          <t>24 Sep 2026</t>
        </is>
      </c>
      <c r="B26" s="5" t="inlineStr">
        <is>
          <t>Guna</t>
        </is>
      </c>
      <c r="C26" s="5" t="inlineStr">
        <is>
          <t>Project Tracking</t>
        </is>
      </c>
      <c r="D26" s="4" t="inlineStr">
        <is>
          <t>Update tracker with completed-task status</t>
        </is>
      </c>
      <c r="E26" s="5" t="inlineStr">
        <is>
          <t>Reflect progress on personas (1.3) and metric integrity (3.1c); log the timeline-noise finding as a new risk (R22)</t>
        </is>
      </c>
      <c r="F26" s="5" t="inlineStr">
        <is>
          <t>Done</t>
        </is>
      </c>
      <c r="G26" s="5" t="inlineStr">
        <is>
          <t>Medium</t>
        </is>
      </c>
      <c r="H26" s="5" t="inlineStr">
        <is>
          <t>Formula audit (row above)</t>
        </is>
      </c>
      <c r="I26" s="5" t="inlineStr">
        <is>
          <t>24 Sep 2026</t>
        </is>
      </c>
      <c r="J26" s="5" t="inlineStr">
        <is>
          <t>24 Sep 2026</t>
        </is>
      </c>
      <c r="K26" s="5" t="inlineStr">
        <is>
          <t>Fixed a column-shift bug from this same edit</t>
        </is>
      </c>
    </row>
    <row r="27">
      <c r="A27" s="4" t="inlineStr">
        <is>
          <t>25 Sep 2026</t>
        </is>
      </c>
      <c r="B27" s="5" t="inlineStr">
        <is>
          <t>Guna</t>
        </is>
      </c>
      <c r="C27" s="5" t="inlineStr">
        <is>
          <t>Project Tracking</t>
        </is>
      </c>
      <c r="D27" s="4" t="inlineStr">
        <is>
          <t>Add this daily task log</t>
        </is>
      </c>
      <c r="E27" s="5" t="inlineStr">
        <is>
          <t>Add a per-day task log in the team's own tracking format</t>
        </is>
      </c>
      <c r="F27" s="5" t="inlineStr">
        <is>
          <t>Done</t>
        </is>
      </c>
      <c r="G27" s="5" t="inlineStr">
        <is>
          <t>Low</t>
        </is>
      </c>
      <c r="H27" s="5" t="inlineStr">
        <is>
          <t>None</t>
        </is>
      </c>
      <c r="I27" s="5" t="inlineStr">
        <is>
          <t>25 Sep 2026</t>
        </is>
      </c>
      <c r="J27" s="5" t="inlineStr">
        <is>
          <t>25 Sep 2026</t>
        </is>
      </c>
      <c r="K27" s="5" t="inlineStr">
        <is>
          <t>This sheet</t>
        </is>
      </c>
    </row>
    <row r="28">
      <c r="A28" s="4" t="inlineStr">
        <is>
          <t>29 Sep 2026</t>
        </is>
      </c>
      <c r="B28" s="5" t="inlineStr">
        <is>
          <t>Guna</t>
        </is>
      </c>
      <c r="C28" s="5" t="inlineStr">
        <is>
          <t>Database Integration</t>
        </is>
      </c>
      <c r="D28" s="4" t="inlineStr">
        <is>
          <t>O1 threshold audit — dollar-cutoff calibration</t>
        </is>
      </c>
      <c r="E28" s="5" t="inlineStr">
        <is>
          <t>Decide and implement how hand-tuned dollar thresholds (Netherlands / France-Austria-Poland catalog cutoffs, Introduction-stage lifecycle cutoff) should be rescaled now that real per-SKU revenue is live — verify selectivity is preserved, not just unit-converted</t>
        </is>
      </c>
      <c r="F28" s="5" t="inlineStr">
        <is>
          <t>Done</t>
        </is>
      </c>
      <c r="G28" s="5" t="inlineStr">
        <is>
          <t>High</t>
        </is>
      </c>
      <c r="H28" s="5" t="inlineStr">
        <is>
          <t>Live SKU revenue (skuRevenueM)</t>
        </is>
      </c>
      <c r="I28" s="5" t="inlineStr">
        <is>
          <t>29 Sep 2026</t>
        </is>
      </c>
      <c r="J28" s="5" t="inlineStr">
        <is>
          <t>29 Sep 2026</t>
        </is>
      </c>
      <c r="K28" s="5" t="inlineStr">
        <is>
          <t>Mean-ratio rescale was wrong for SKUHoldingsMatrix — real revenue is Pareto-skewed vs. the old uniform hand-typed values; caught by checking selectivity numerically, fixed with rank-preserving constants instead</t>
        </is>
      </c>
    </row>
    <row r="29">
      <c r="A29" s="4" t="inlineStr">
        <is>
          <t>30 Sep 2026</t>
        </is>
      </c>
      <c r="B29" s="5" t="inlineStr">
        <is>
          <t>Guna</t>
        </is>
      </c>
      <c r="C29" s="5" t="inlineStr">
        <is>
          <t>Branding / UI</t>
        </is>
      </c>
      <c r="D29" s="4" t="inlineStr">
        <is>
          <t>Extract and wire the product logo</t>
        </is>
      </c>
      <c r="E29" s="5" t="inlineStr">
        <is>
          <t>Crop the cube mark from the reference Logo.png, produce header / login / favicon assets, replace placeholder icons in Header, LoginPage and WelcomeGate</t>
        </is>
      </c>
      <c r="F29" s="5" t="inlineStr">
        <is>
          <t>Done</t>
        </is>
      </c>
      <c r="G29" s="5" t="inlineStr">
        <is>
          <t>Medium</t>
        </is>
      </c>
      <c r="H29" s="5" t="inlineStr">
        <is>
          <t>Logo.png reference image</t>
        </is>
      </c>
      <c r="I29" s="5" t="inlineStr">
        <is>
          <t>30 Sep 2026</t>
        </is>
      </c>
      <c r="J29" s="5" t="inlineStr">
        <is>
          <t>30 Sep 2026</t>
        </is>
      </c>
      <c r="K29" s="5" t="inlineStr">
        <is>
          <t>Also replaced WelcomeGate’s generic "AI network lines" background with a product-lifecycle-curve motif matching the brand</t>
        </is>
      </c>
    </row>
    <row r="30">
      <c r="A30" s="4" t="inlineStr">
        <is>
          <t>30 Sep 2026</t>
        </is>
      </c>
      <c r="B30" s="5" t="inlineStr">
        <is>
          <t>Guna</t>
        </is>
      </c>
      <c r="C30" s="5" t="inlineStr">
        <is>
          <t>UI / Navigation</t>
        </is>
      </c>
      <c r="D30" s="4" t="inlineStr">
        <is>
          <t>Convert "Switch profile" into an inline dropdown</t>
        </is>
      </c>
      <c r="E30" s="5" t="inlineStr">
        <is>
          <t>Replace the full-screen navigate-back-to-Welcome-Gate flow with an in-header role picker so switching persona no longer leaves the current tab</t>
        </is>
      </c>
      <c r="F30" s="5" t="inlineStr">
        <is>
          <t>Done</t>
        </is>
      </c>
      <c r="G30" s="5" t="inlineStr">
        <is>
          <t>Medium</t>
        </is>
      </c>
      <c r="H30" s="5" t="inlineStr">
        <is>
          <t>None</t>
        </is>
      </c>
      <c r="I30" s="5" t="inlineStr">
        <is>
          <t>30 Sep 2026</t>
        </is>
      </c>
      <c r="J30" s="5" t="inlineStr">
        <is>
          <t>30 Sep 2026</t>
        </is>
      </c>
      <c r="K30" s="5" t="inlineStr">
        <is>
          <t>Removed the now-dead handleSwitchPersona / onSwitchPersona plumbing it replaced</t>
        </is>
      </c>
    </row>
    <row r="31">
      <c r="A31" s="4" t="inlineStr">
        <is>
          <t>30 Sep 2026</t>
        </is>
      </c>
      <c r="B31" s="5" t="inlineStr">
        <is>
          <t>Guna</t>
        </is>
      </c>
      <c r="C31" s="5" t="inlineStr">
        <is>
          <t>Product Research</t>
        </is>
      </c>
      <c r="D31" s="4" t="inlineStr">
        <is>
          <t>Review daily team call; audit Top-Down Drilldown against the database</t>
        </is>
      </c>
      <c r="E31" s="5" t="inlineStr">
        <is>
          <t>Check whether the OTIF / fulfillment drill-down (LATAM / EMEA / APAC) the team reviewed live on the call is backed by real data</t>
        </is>
      </c>
      <c r="F31" s="5" t="inlineStr">
        <is>
          <t>Done</t>
        </is>
      </c>
      <c r="G31" s="5" t="inlineStr">
        <is>
          <t>High</t>
        </is>
      </c>
      <c r="H31" s="5" t="inlineStr">
        <is>
          <t>Database connected (29 Sep)</t>
        </is>
      </c>
      <c r="I31" s="5" t="inlineStr">
        <is>
          <t>30 Sep 2026</t>
        </is>
      </c>
      <c r="J31" s="5" t="inlineStr">
        <is>
          <t>30 Sep 2026</t>
        </is>
      </c>
      <c r="K31" s="5" t="inlineStr">
        <is>
          <t>Found the regions, managers and OTIF numbers shown are entirely fictional — the DB only has 7 European countries; real lead-time / stockout signals exist but are not wired to this screen</t>
        </is>
      </c>
    </row>
    <row r="32">
      <c r="A32" s="4" t="inlineStr">
        <is>
          <t>30 Sep 2026</t>
        </is>
      </c>
      <c r="B32" s="5" t="inlineStr">
        <is>
          <t>Guna</t>
        </is>
      </c>
      <c r="C32" s="5" t="inlineStr">
        <is>
          <t>Product Research</t>
        </is>
      </c>
      <c r="D32" s="4" t="inlineStr">
        <is>
          <t>Decide real vs. illustrative regions for the drill-down</t>
        </is>
      </c>
      <c r="E32" s="5" t="inlineStr">
        <is>
          <t>Choose whether Top-Down Drilldown should be relabeled to the DB’s real 7 countries / 3 European regions, or stay APAC / EMEA / LATAM as demo framing</t>
        </is>
      </c>
      <c r="F32" s="5" t="inlineStr">
        <is>
          <t>Not started</t>
        </is>
      </c>
      <c r="G32" s="5" t="inlineStr">
        <is>
          <t>High</t>
        </is>
      </c>
      <c r="H32" s="5" t="inlineStr">
        <is>
          <t>Team decision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Blocks defining a real OTIF metric; raised in the 30 Sep call</t>
        </is>
      </c>
    </row>
    <row r="33">
      <c r="A33" s="4" t="inlineStr">
        <is>
          <t>30 Sep 2026</t>
        </is>
      </c>
      <c r="B33" s="5" t="inlineStr">
        <is>
          <t>Guna</t>
        </is>
      </c>
      <c r="C33" s="5" t="inlineStr">
        <is>
          <t>Metrics / Backend</t>
        </is>
      </c>
      <c r="D33" s="4" t="inlineStr">
        <is>
          <t>Define and compute a real OTIF metric</t>
        </is>
      </c>
      <c r="E33" s="5" t="inlineStr">
        <is>
          <t>fact_sales only has stock_out_flag and lead_time_days, not literal ordered-vs-received quantities — pick a derivable definition and add it as a SQL function, same pattern as the other live metrics</t>
        </is>
      </c>
      <c r="F33" s="5" t="inlineStr">
        <is>
          <t>Not started</t>
        </is>
      </c>
      <c r="G33" s="5" t="inlineStr">
        <is>
          <t>High</t>
        </is>
      </c>
      <c r="H33" s="5" t="inlineStr">
        <is>
          <t>Region decision (row above)</t>
        </is>
      </c>
      <c r="I33" s="5" t="inlineStr">
        <is>
          <t>—</t>
        </is>
      </c>
      <c r="J33" s="5" t="inlineStr">
        <is>
          <t>—</t>
        </is>
      </c>
      <c r="K33" s="5" t="inlineStr">
        <is>
          <t>Raised in the 30 Sep call as the model for detect → diagnose → simulate → recommend elsewhere in the app</t>
        </is>
      </c>
    </row>
    <row r="34">
      <c r="A34" s="4" t="inlineStr">
        <is>
          <t>30 Sep 2026</t>
        </is>
      </c>
      <c r="B34" s="5" t="inlineStr">
        <is>
          <t>Guna</t>
        </is>
      </c>
      <c r="C34" s="5" t="inlineStr">
        <is>
          <t>Frontend / Search</t>
        </is>
      </c>
      <c r="D34" s="4" t="inlineStr">
        <is>
          <t>Bulk multi-SKU search and combined report</t>
        </is>
      </c>
      <c r="E34" s="5" t="inlineStr">
        <is>
          <t>Let a user select several SKUs at once (not just one at a time) and generate a single combined report</t>
        </is>
      </c>
      <c r="F34" s="5" t="inlineStr">
        <is>
          <t>Not started</t>
        </is>
      </c>
      <c r="G34" s="5" t="inlineStr">
        <is>
          <t>Medium</t>
        </is>
      </c>
      <c r="H34" s="5" t="inlineStr">
        <is>
          <t>None</t>
        </is>
      </c>
      <c r="I34" s="5" t="inlineStr">
        <is>
          <t>—</t>
        </is>
      </c>
      <c r="J34" s="5" t="inlineStr">
        <is>
          <t>—</t>
        </is>
      </c>
      <c r="K34" s="5" t="inlineStr">
        <is>
          <t>Confirmed missing app-wide; raised in the 30 Sep call</t>
        </is>
      </c>
    </row>
    <row r="35">
      <c r="A35" s="4" t="inlineStr">
        <is>
          <t>30 Sep 2026</t>
        </is>
      </c>
      <c r="B35" s="5" t="inlineStr">
        <is>
          <t>Guna</t>
        </is>
      </c>
      <c r="C35" s="5" t="inlineStr">
        <is>
          <t>Frontend</t>
        </is>
      </c>
      <c r="D35" s="4" t="inlineStr">
        <is>
          <t>Report download / export</t>
        </is>
      </c>
      <c r="E35" s="5" t="inlineStr">
        <is>
          <t>Confirm and, if missing, add a way to download what is on screen — currently only scattered per-tab CSV buttons exist (SKU Performance, Rationalization)</t>
        </is>
      </c>
      <c r="F35" s="5" t="inlineStr">
        <is>
          <t>Not started</t>
        </is>
      </c>
      <c r="G35" s="5" t="inlineStr">
        <is>
          <t>Medium</t>
        </is>
      </c>
      <c r="H35" s="5" t="inlineStr">
        <is>
          <t>None</t>
        </is>
      </c>
      <c r="I35" s="5" t="inlineStr">
        <is>
          <t>—</t>
        </is>
      </c>
      <c r="J35" s="5" t="inlineStr">
        <is>
          <t>—</t>
        </is>
      </c>
      <c r="K35" s="5" t="inlineStr">
        <is>
          <t>Left as an open question in the 30 Sep call</t>
        </is>
      </c>
    </row>
    <row r="36">
      <c r="A36" s="4" t="inlineStr">
        <is>
          <t>30 Sep 2026</t>
        </is>
      </c>
      <c r="B36" s="5" t="inlineStr">
        <is>
          <t>Guna</t>
        </is>
      </c>
      <c r="C36" s="5" t="inlineStr">
        <is>
          <t>Codebase Remediation</t>
        </is>
      </c>
      <c r="D36" s="4" t="inlineStr">
        <is>
          <t>O1 threshold audit — percent constants</t>
        </is>
      </c>
      <c r="E36" s="5" t="inlineStr">
        <is>
          <t>Wire the hand-tuned % constants (cannibalization uplift, waste write-off, complexity savings, etc.) to live revenue inputs; the constants themselves stay as-is per the 29 Sep decision</t>
        </is>
      </c>
      <c r="F36" s="5" t="inlineStr">
        <is>
          <t>Not started</t>
        </is>
      </c>
      <c r="G36" s="5" t="inlineStr">
        <is>
          <t>Medium</t>
        </is>
      </c>
      <c r="H36" s="5" t="inlineStr">
        <is>
          <t>Live skuRevenueM in the affected files</t>
        </is>
      </c>
      <c r="I36" s="5" t="inlineStr">
        <is>
          <t>—</t>
        </is>
      </c>
      <c r="J36" s="5" t="inlineStr">
        <is>
          <t>—</t>
        </is>
      </c>
      <c r="K36" s="5" t="inlineStr">
        <is>
          <t>Decided 29 Sep: treat as demo-plausible assumptions, no recalibration needed — just needs wiring</t>
        </is>
      </c>
    </row>
  </sheetData>
  <autoFilter ref="A4:K27"/>
  <conditionalFormatting sqref="F5:F27">
    <cfRule type="cellIs" priority="1" operator="equal" dxfId="5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0">
      <formula>"Not Started"</formula>
    </cfRule>
  </conditionalFormatting>
  <conditionalFormatting sqref="G5:G27">
    <cfRule type="cellIs" priority="5" operator="equal" dxfId="2">
      <formula>"High"</formula>
    </cfRule>
    <cfRule type="cellIs" priority="6" operator="equal" dxfId="4">
      <formula>"Medium"</formula>
    </cfRule>
    <cfRule type="cellIs" priority="7" operator="equal" dxfId="5">
      <formula>"Low"</formula>
    </cfRule>
  </conditionalFormatting>
  <dataValidations count="2">
    <dataValidation sqref="F5:F27" showDropDown="0" showInputMessage="0" showErrorMessage="0" allowBlank="1" type="list">
      <formula1>"Done,In Progress,Blocked,Not Started"</formula1>
    </dataValidation>
    <dataValidation sqref="G5:G2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F8F00"/>
    <outlinePr summaryBelow="1" summaryRight="1"/>
    <pageSetUpPr/>
  </sheetPr>
  <dimension ref="A1:K19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5"/>
  <cols>
    <col width="6" customWidth="1" min="1" max="1"/>
    <col width="42" customWidth="1" min="2" max="2"/>
    <col width="34" customWidth="1" min="3" max="4"/>
    <col width="30" customWidth="1" min="5" max="5"/>
    <col width="28" customWidth="1" min="6" max="6"/>
    <col width="22" customWidth="1" min="7" max="7"/>
    <col width="10" customWidth="1" min="8" max="8"/>
    <col width="13" customWidth="1" min="9" max="9"/>
    <col width="12" customWidth="1" min="10" max="10"/>
    <col width="36" customWidth="1" min="11" max="11"/>
  </cols>
  <sheetData>
    <row r="1" ht="20.1" customHeight="1">
      <c r="A1" s="1" t="inlineStr">
        <is>
          <t>Open Questions — decisions we need</t>
        </is>
      </c>
    </row>
    <row r="2">
      <c r="A2" s="2" t="inlineStr">
        <is>
          <t>Each has a recommendation, so 'agreed' is a complete answer. 'Needed by' follows the meeting date. Light yellow = please fill in.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Why it matters</t>
        </is>
      </c>
      <c r="D4" s="3" t="inlineStr">
        <is>
          <t>Options</t>
        </is>
      </c>
      <c r="E4" s="3" t="inlineStr">
        <is>
          <t>Recommendation</t>
        </is>
      </c>
      <c r="F4" s="3" t="inlineStr">
        <is>
          <t>Default if unanswered</t>
        </is>
      </c>
      <c r="G4" s="3" t="inlineStr">
        <is>
          <t>Who answers</t>
        </is>
      </c>
      <c r="H4" s="3" t="inlineStr">
        <is>
          <t>Meeting</t>
        </is>
      </c>
      <c r="I4" s="3" t="inlineStr">
        <is>
          <t>Needed by</t>
        </is>
      </c>
      <c r="J4" s="3" t="inlineStr">
        <is>
          <t>Status</t>
        </is>
      </c>
      <c r="K4" s="3" t="inlineStr">
        <is>
          <t>Answer / decision</t>
        </is>
      </c>
    </row>
    <row r="5" ht="37.3" customHeight="1">
      <c r="A5" s="4" t="inlineStr">
        <is>
          <t>Q1</t>
        </is>
      </c>
      <c r="B5" s="4" t="inlineStr">
        <is>
          <t>Is Lab 8 a capability showcase or a product that competes?</t>
        </is>
      </c>
      <c r="C5" s="5" t="inlineStr">
        <is>
          <t>Decides investment in ingestion, security and competitor data.</t>
        </is>
      </c>
      <c r="D5" s="5" t="inlineStr">
        <is>
          <t>A · GTM demo asset
B · Internal accelerator
C · Product</t>
        </is>
      </c>
      <c r="E5" s="5" t="inlineStr">
        <is>
          <t>A, keeping B open</t>
        </is>
      </c>
      <c r="F5" s="5" t="inlineStr">
        <is>
          <t>Build as a GTM demo asset</t>
        </is>
      </c>
      <c r="G5" s="5" t="inlineStr">
        <is>
          <t>Programme owner</t>
        </is>
      </c>
      <c r="H5" s="5" t="inlineStr">
        <is>
          <t>M1</t>
        </is>
      </c>
      <c r="I5" s="20">
        <f>IFERROR(IF(INDEX('Stakeholder Meetings'!$G$5:$G$12,MATCH(LEFT(H5,2),'Stakeholder Meetings'!$A$5:$A$12,0))="","",INDEX('Stakeholder Meetings'!$G$5:$G$12,MATCH(LEFT(H5,2),'Stakeholder Meetings'!$A$5:$A$12,0))),"")</f>
        <v/>
      </c>
      <c r="J5" s="5" t="inlineStr">
        <is>
          <t>Open</t>
        </is>
      </c>
      <c r="K5" s="10" t="n"/>
    </row>
    <row r="6" ht="24.85" customHeight="1">
      <c r="A6" s="4" t="inlineStr">
        <is>
          <t>Q2</t>
        </is>
      </c>
      <c r="B6" s="4" t="inlineStr">
        <is>
          <t>Which revenue baseline is canonical — $473M or $851M?</t>
        </is>
      </c>
      <c r="C6" s="5" t="inlineStr">
        <is>
          <t>Every downstream figure and the metric registry depend on it.</t>
        </is>
      </c>
      <c r="D6" s="5" t="inlineStr">
        <is>
          <t>$473M (validated dataset)
$851M (in more places — 18 source lines)</t>
        </is>
      </c>
      <c r="E6" s="5" t="inlineStr">
        <is>
          <t>$473M</t>
        </is>
      </c>
      <c r="F6" s="5" t="inlineStr">
        <is>
          <t>$473M</t>
        </is>
      </c>
      <c r="G6" s="5" t="inlineStr">
        <is>
          <t>Programme owner; finance SME</t>
        </is>
      </c>
      <c r="H6" s="5" t="inlineStr">
        <is>
          <t>M2</t>
        </is>
      </c>
      <c r="I6" s="20">
        <f>IFERROR(IF(INDEX('Stakeholder Meetings'!$G$5:$G$12,MATCH(LEFT(H6,2),'Stakeholder Meetings'!$A$5:$A$12,0))="","",INDEX('Stakeholder Meetings'!$G$5:$G$12,MATCH(LEFT(H6,2),'Stakeholder Meetings'!$A$5:$A$12,0))),"")</f>
        <v/>
      </c>
      <c r="J6" s="5" t="inlineStr">
        <is>
          <t>Open</t>
        </is>
      </c>
      <c r="K6" s="10" t="n"/>
    </row>
    <row r="7" ht="37.3" customHeight="1">
      <c r="A7" s="4" t="inlineStr">
        <is>
          <t>Q3</t>
        </is>
      </c>
      <c r="B7" s="4" t="inlineStr">
        <is>
          <t>Two required KPIs — time-to-market and launch success — have no data. 0 of 119 SKUs have a launch date.</t>
        </is>
      </c>
      <c r="C7" s="5" t="inlineStr">
        <is>
          <t>2 of the 6 required KPIs cannot be computed; the launch closed loop needs the same data.</t>
        </is>
      </c>
      <c r="D7" s="5" t="inlineStr">
        <is>
          <t>Synthetic launch table
Drop both KPIs
Source real launch data</t>
        </is>
      </c>
      <c r="E7" s="5" t="inlineStr">
        <is>
          <t>Synthetic launch table (~2 days)</t>
        </is>
      </c>
      <c r="F7" s="5" t="inlineStr">
        <is>
          <t>Add a synthetic launch table</t>
        </is>
      </c>
      <c r="G7" s="5" t="inlineStr">
        <is>
          <t>Programme owner</t>
        </is>
      </c>
      <c r="H7" s="5" t="inlineStr">
        <is>
          <t>M2</t>
        </is>
      </c>
      <c r="I7" s="20">
        <f>IFERROR(IF(INDEX('Stakeholder Meetings'!$G$5:$G$12,MATCH(LEFT(H7,2),'Stakeholder Meetings'!$A$5:$A$12,0))="","",INDEX('Stakeholder Meetings'!$G$5:$G$12,MATCH(LEFT(H7,2),'Stakeholder Meetings'!$A$5:$A$12,0))),"")</f>
        <v/>
      </c>
      <c r="J7" s="5" t="inlineStr">
        <is>
          <t>Open</t>
        </is>
      </c>
      <c r="K7" s="10" t="n"/>
    </row>
    <row r="8" ht="24.85" customHeight="1">
      <c r="A8" s="4" t="inlineStr">
        <is>
          <t>Q4</t>
        </is>
      </c>
      <c r="B8" s="4" t="inlineStr">
        <is>
          <t>Gross Profit, Net Profit and SG&amp;A cards have no cost basis — no opex columns exist.</t>
        </is>
      </c>
      <c r="C8" s="5" t="inlineStr">
        <is>
          <t>An undefendable profit figure is the likeliest thing to end a client demo badly.</t>
        </is>
      </c>
      <c r="D8" s="5" t="inlineStr">
        <is>
          <t>Remove the cards
Extend the model with opex</t>
        </is>
      </c>
      <c r="E8" s="5" t="inlineStr">
        <is>
          <t>Remove</t>
        </is>
      </c>
      <c r="F8" s="5" t="inlineStr">
        <is>
          <t>Remove the three cards</t>
        </is>
      </c>
      <c r="G8" s="5" t="inlineStr">
        <is>
          <t>Programme owner; finance SME</t>
        </is>
      </c>
      <c r="H8" s="5" t="inlineStr">
        <is>
          <t>M2</t>
        </is>
      </c>
      <c r="I8" s="20">
        <f>IFERROR(IF(INDEX('Stakeholder Meetings'!$G$5:$G$12,MATCH(LEFT(H8,2),'Stakeholder Meetings'!$A$5:$A$12,0))="","",INDEX('Stakeholder Meetings'!$G$5:$G$12,MATCH(LEFT(H8,2),'Stakeholder Meetings'!$A$5:$A$12,0))),"")</f>
        <v/>
      </c>
      <c r="J8" s="5" t="inlineStr">
        <is>
          <t>Open</t>
        </is>
      </c>
      <c r="K8" s="10" t="n"/>
    </row>
    <row r="9" ht="24.85" customHeight="1">
      <c r="A9" s="4" t="inlineStr">
        <is>
          <t>Q5</t>
        </is>
      </c>
      <c r="B9" s="4" t="inlineStr">
        <is>
          <t>12 of 20 designed metrics have no value. Compute or remove?</t>
        </is>
      </c>
      <c r="C9" s="5" t="inlineStr">
        <is>
          <t>KPI strips render empty on four tabs.</t>
        </is>
      </c>
      <c r="D9" s="5" t="inlineStr">
        <is>
          <t>Compute those the data supports
Delete the rest</t>
        </is>
      </c>
      <c r="E9" s="5" t="inlineStr">
        <is>
          <t>Compute what maps; delete the rest</t>
        </is>
      </c>
      <c r="F9" s="5" t="inlineStr">
        <is>
          <t>Compute what maps; delete the rest</t>
        </is>
      </c>
      <c r="G9" s="5" t="inlineStr">
        <is>
          <t>Programme owner</t>
        </is>
      </c>
      <c r="H9" s="5" t="inlineStr">
        <is>
          <t>M2</t>
        </is>
      </c>
      <c r="I9" s="20">
        <f>IFERROR(IF(INDEX('Stakeholder Meetings'!$G$5:$G$12,MATCH(LEFT(H9,2),'Stakeholder Meetings'!$A$5:$A$12,0))="","",INDEX('Stakeholder Meetings'!$G$5:$G$12,MATCH(LEFT(H9,2),'Stakeholder Meetings'!$A$5:$A$12,0))),"")</f>
        <v/>
      </c>
      <c r="J9" s="5" t="inlineStr">
        <is>
          <t>Open</t>
        </is>
      </c>
      <c r="K9" s="10" t="n"/>
    </row>
    <row r="10" ht="37.3" customHeight="1">
      <c r="A10" s="4" t="inlineStr">
        <is>
          <t>Q6</t>
        </is>
      </c>
      <c r="B10" s="4" t="inlineStr">
        <is>
          <t>Netherlands margin: the source says lowest (38.20%); our data says highest (40.27%). Which is right?</t>
        </is>
      </c>
      <c r="C10" s="5" t="inlineStr">
        <is>
          <t>Credibility with an informed viewer; a gap in our validation.</t>
        </is>
      </c>
      <c r="D10" s="5" t="inlineStr">
        <is>
          <t>Source is right — fix generator, add a check
Source was an artefact</t>
        </is>
      </c>
      <c r="E10" s="5" t="inlineStr">
        <is>
          <t>Treat the source as authoritative</t>
        </is>
      </c>
      <c r="F10" s="5" t="inlineStr">
        <is>
          <t>Fix the generator; add a validation check</t>
        </is>
      </c>
      <c r="G10" s="5" t="inlineStr">
        <is>
          <t>FMCG / finance SME</t>
        </is>
      </c>
      <c r="H10" s="5" t="inlineStr">
        <is>
          <t>M2</t>
        </is>
      </c>
      <c r="I10" s="20">
        <f>IFERROR(IF(INDEX('Stakeholder Meetings'!$G$5:$G$12,MATCH(LEFT(H10,2),'Stakeholder Meetings'!$A$5:$A$12,0))="","",INDEX('Stakeholder Meetings'!$G$5:$G$12,MATCH(LEFT(H10,2),'Stakeholder Meetings'!$A$5:$A$12,0))),"")</f>
        <v/>
      </c>
      <c r="J10" s="5" t="inlineStr">
        <is>
          <t>Open</t>
        </is>
      </c>
      <c r="K10" s="10" t="n"/>
    </row>
    <row r="11" ht="74.55" customHeight="1">
      <c r="A11" s="4" t="inlineStr">
        <is>
          <t>Q7</t>
        </is>
      </c>
      <c r="B11" s="4" t="inlineStr">
        <is>
          <t>Which five tabs? And should the Product Manager see the VP's Launch Readiness view?</t>
        </is>
      </c>
      <c r="C11" s="5" t="inlineStr">
        <is>
          <t>Gates UI/UX and the tab consolidation.</t>
        </is>
      </c>
      <c r="D11" s="5" t="inlineStr">
        <is>
          <t>The brief's five modules as named in the team tracker (3.2–3.6)</t>
        </is>
      </c>
      <c r="E11" s="5" t="inlineStr">
        <is>
          <t>Adopt those five; fold Home, Top-Down Drill, Assortment, Orchestrator and Task Tracker into them. Give the PM its own launch view — the persona matrix makes PM primary there.</t>
        </is>
      </c>
      <c r="F11" s="5" t="inlineStr">
        <is>
          <t>None — needs an owner</t>
        </is>
      </c>
      <c r="G11" s="5" t="inlineStr">
        <is>
          <t>Programme owner</t>
        </is>
      </c>
      <c r="H11" s="5" t="inlineStr">
        <is>
          <t>M3</t>
        </is>
      </c>
      <c r="I11" s="20">
        <f>IFERROR(IF(INDEX('Stakeholder Meetings'!$G$5:$G$12,MATCH(LEFT(H11,2),'Stakeholder Meetings'!$A$5:$A$12,0))="","",INDEX('Stakeholder Meetings'!$G$5:$G$12,MATCH(LEFT(H11,2),'Stakeholder Meetings'!$A$5:$A$12,0))),"")</f>
        <v/>
      </c>
      <c r="J11" s="5" t="inlineStr">
        <is>
          <t>Open</t>
        </is>
      </c>
      <c r="K11" s="10" t="n"/>
    </row>
    <row r="12" ht="37.3" customHeight="1">
      <c r="A12" s="4" t="inlineStr">
        <is>
          <t>Q8</t>
        </is>
      </c>
      <c r="B12" s="4" t="inlineStr">
        <is>
          <t>Rename the real brands in the demo?</t>
        </is>
      </c>
      <c r="C12" s="5" t="inlineStr">
        <is>
          <t>Seven real brands in the SKU list; Pepsi, Mountain Dew and Lay's in the pricing simulator.</t>
        </is>
      </c>
      <c r="D12" s="5" t="inlineStr">
        <is>
          <t>Rename all to fictional brands
Keep competitor names as labelled references</t>
        </is>
      </c>
      <c r="E12" s="5" t="inlineStr">
        <is>
          <t>Rename all</t>
        </is>
      </c>
      <c r="F12" s="5" t="inlineStr">
        <is>
          <t>Rename all</t>
        </is>
      </c>
      <c r="G12" s="5" t="inlineStr">
        <is>
          <t>Programme owner</t>
        </is>
      </c>
      <c r="H12" s="5" t="inlineStr">
        <is>
          <t>M3</t>
        </is>
      </c>
      <c r="I12" s="20">
        <f>IFERROR(IF(INDEX('Stakeholder Meetings'!$G$5:$G$12,MATCH(LEFT(H12,2),'Stakeholder Meetings'!$A$5:$A$12,0))="","",INDEX('Stakeholder Meetings'!$G$5:$G$12,MATCH(LEFT(H12,2),'Stakeholder Meetings'!$A$5:$A$12,0))),"")</f>
        <v/>
      </c>
      <c r="J12" s="5" t="inlineStr">
        <is>
          <t>Open</t>
        </is>
      </c>
      <c r="K12" s="10" t="n"/>
    </row>
    <row r="13" ht="37.3" customHeight="1">
      <c r="A13" s="4" t="inlineStr">
        <is>
          <t>Q9</t>
        </is>
      </c>
      <c r="B13" s="4" t="inlineStr">
        <is>
          <t>When is the first demo, and to whom?</t>
        </is>
      </c>
      <c r="C13" s="5" t="inlineStr">
        <is>
          <t>No deadline is set (confirmed 22 Sep). The team tracker's 20 working days from 3 Sep (to 30 Sep) is a placeholder.</t>
        </is>
      </c>
      <c r="D13" s="5" t="inlineStr">
        <is>
          <t>—</t>
        </is>
      </c>
      <c r="E13" s="5" t="inlineStr">
        <is>
          <t>Set a date; the Overview shows the earliest at planned durations</t>
        </is>
      </c>
      <c r="F13" s="5" t="inlineStr">
        <is>
          <t>None — needs an owner</t>
        </is>
      </c>
      <c r="G13" s="5" t="inlineStr">
        <is>
          <t>Programme owner</t>
        </is>
      </c>
      <c r="H13" s="5" t="inlineStr">
        <is>
          <t>M1</t>
        </is>
      </c>
      <c r="I13" s="20">
        <f>IFERROR(IF(INDEX('Stakeholder Meetings'!$G$5:$G$12,MATCH(LEFT(H13,2),'Stakeholder Meetings'!$A$5:$A$12,0))="","",INDEX('Stakeholder Meetings'!$G$5:$G$12,MATCH(LEFT(H13,2),'Stakeholder Meetings'!$A$5:$A$12,0))),"")</f>
        <v/>
      </c>
      <c r="J13" s="5" t="inlineStr">
        <is>
          <t>Open</t>
        </is>
      </c>
      <c r="K13" s="10" t="n"/>
    </row>
    <row r="14" ht="24.85" customHeight="1">
      <c r="A14" s="4" t="inlineStr">
        <is>
          <t>Q10</t>
        </is>
      </c>
      <c r="B14" s="4" t="inlineStr">
        <is>
          <t>Where does it run, what is the LLM budget, and is 'the LLM explains, never computes' agreed?</t>
        </is>
      </c>
      <c r="C14" s="5" t="inlineStr">
        <is>
          <t>Backend hosting, agent design and running cost.</t>
        </is>
      </c>
      <c r="D14" s="5" t="inlineStr">
        <is>
          <t>—</t>
        </is>
      </c>
      <c r="E14" s="5" t="inlineStr">
        <is>
          <t>Agree the principle; re-price models before quoting</t>
        </is>
      </c>
      <c r="F14" s="5" t="inlineStr">
        <is>
          <t>None — needs an owner</t>
        </is>
      </c>
      <c r="G14" s="5" t="inlineStr">
        <is>
          <t>Programme owner; budget holder</t>
        </is>
      </c>
      <c r="H14" s="5" t="inlineStr">
        <is>
          <t>M4</t>
        </is>
      </c>
      <c r="I14" s="20">
        <f>IFERROR(IF(INDEX('Stakeholder Meetings'!$G$5:$G$12,MATCH(LEFT(H14,2),'Stakeholder Meetings'!$A$5:$A$12,0))="","",INDEX('Stakeholder Meetings'!$G$5:$G$12,MATCH(LEFT(H14,2),'Stakeholder Meetings'!$A$5:$A$12,0))),"")</f>
        <v/>
      </c>
      <c r="J14" s="5" t="inlineStr">
        <is>
          <t>Open</t>
        </is>
      </c>
      <c r="K14" s="10" t="n"/>
    </row>
    <row r="15" ht="24.85" customHeight="1">
      <c r="A15" s="4" t="inlineStr">
        <is>
          <t>Q11</t>
        </is>
      </c>
      <c r="B15" s="4" t="inlineStr">
        <is>
          <t>Does the Signals Board need a real competitor feed?</t>
        </is>
      </c>
      <c r="C15" s="5" t="inlineStr">
        <is>
          <t>A second data source with its own grain, refresh and licensing.</t>
        </is>
      </c>
      <c r="D15" s="5" t="inlineStr">
        <is>
          <t>Illustrative, clearly labelled
Real feed</t>
        </is>
      </c>
      <c r="E15" s="5" t="inlineStr">
        <is>
          <t>Illustrative if Q1 = A</t>
        </is>
      </c>
      <c r="F15" s="5" t="inlineStr">
        <is>
          <t>Keep illustrative, labelled</t>
        </is>
      </c>
      <c r="G15" s="5" t="inlineStr">
        <is>
          <t>Programme owner</t>
        </is>
      </c>
      <c r="H15" s="5" t="inlineStr">
        <is>
          <t>M1</t>
        </is>
      </c>
      <c r="I15" s="20">
        <f>IFERROR(IF(INDEX('Stakeholder Meetings'!$G$5:$G$12,MATCH(LEFT(H15,2),'Stakeholder Meetings'!$A$5:$A$12,0))="","",INDEX('Stakeholder Meetings'!$G$5:$G$12,MATCH(LEFT(H15,2),'Stakeholder Meetings'!$A$5:$A$12,0))),"")</f>
        <v/>
      </c>
      <c r="J15" s="5" t="inlineStr">
        <is>
          <t>Open</t>
        </is>
      </c>
      <c r="K15" s="10" t="n"/>
    </row>
    <row r="16" ht="49.7" customHeight="1">
      <c r="A16" s="4" t="inlineStr">
        <is>
          <t>Q12</t>
        </is>
      </c>
      <c r="B16" s="4" t="inlineStr">
        <is>
          <t>Is the repository public?</t>
        </is>
      </c>
      <c r="C16" s="5" t="inlineStr">
        <is>
          <t>A database password is in pushed git history (a3a3c54). It protects nothing today, but the follow-up depends on visibility.</t>
        </is>
      </c>
      <c r="D16" s="5" t="inlineStr">
        <is>
          <t>—</t>
        </is>
      </c>
      <c r="E16" s="5" t="inlineStr">
        <is>
          <t>Confirm visibility</t>
        </is>
      </c>
      <c r="F16" s="5" t="inlineStr">
        <is>
          <t>Treat as private; value already rotated</t>
        </is>
      </c>
      <c r="G16" s="5" t="inlineStr">
        <is>
          <t>Guna</t>
        </is>
      </c>
      <c r="H16" s="5" t="inlineStr">
        <is>
          <t>M4</t>
        </is>
      </c>
      <c r="I16" s="20">
        <f>IFERROR(IF(INDEX('Stakeholder Meetings'!$G$5:$G$12,MATCH(LEFT(H16,2),'Stakeholder Meetings'!$A$5:$A$12,0))="","",INDEX('Stakeholder Meetings'!$G$5:$G$12,MATCH(LEFT(H16,2),'Stakeholder Meetings'!$A$5:$A$12,0))),"")</f>
        <v/>
      </c>
      <c r="J16" s="5" t="inlineStr">
        <is>
          <t>Open</t>
        </is>
      </c>
      <c r="K16" s="10" t="n"/>
    </row>
    <row r="17" ht="74.55" customHeight="1">
      <c r="A17" s="4" t="inlineStr">
        <is>
          <t>Q13</t>
        </is>
      </c>
      <c r="B17" s="4" t="inlineStr">
        <is>
          <t>Which words do we use for decisions?</t>
        </is>
      </c>
      <c r="C17" s="5" t="inlineStr">
        <is>
          <t>SKU outcomes appear three ways and launch decisions two ways across the team tracker and the app. Business rules (2.5) cannot be written until one set is chosen.</t>
        </is>
      </c>
      <c r="D17" s="5" t="inlineStr">
        <is>
          <t>SKU: Retain / Optimize / Reposition / Discontinue · retain / grow / bundle / reposition / sunset · app: Keep / Grow / Consolidate / Rationalize
Launch: GO / CONDITIONAL GO / NO-GO · GO / REVIEW / DELAY</t>
        </is>
      </c>
      <c r="E17" s="5" t="inlineStr">
        <is>
          <t>Keep the app's four segments as the classification; use Retain / Optimize / Reposition / Discontinue as the decision, and GO / CONDITIONAL GO / NO-GO for launches</t>
        </is>
      </c>
      <c r="F17" s="5" t="inlineStr">
        <is>
          <t>As recommended</t>
        </is>
      </c>
      <c r="G17" s="5" t="inlineStr">
        <is>
          <t>Programme owner; FMCG SME</t>
        </is>
      </c>
      <c r="H17" s="5" t="inlineStr">
        <is>
          <t>M2</t>
        </is>
      </c>
      <c r="I17" s="20">
        <f>IFERROR(IF(INDEX('Stakeholder Meetings'!$G$5:$G$12,MATCH(LEFT(H17,2),'Stakeholder Meetings'!$A$5:$A$12,0))="","",INDEX('Stakeholder Meetings'!$G$5:$G$12,MATCH(LEFT(H17,2),'Stakeholder Meetings'!$A$5:$A$12,0))),"")</f>
        <v/>
      </c>
      <c r="J17" s="5" t="inlineStr">
        <is>
          <t>Open</t>
        </is>
      </c>
      <c r="K17" s="10" t="n"/>
    </row>
    <row r="18" ht="37.3" customHeight="1">
      <c r="A18" s="4" t="inlineStr">
        <is>
          <t>Q14</t>
        </is>
      </c>
      <c r="B18" s="4" t="inlineStr">
        <is>
          <t>Which problem is most acute, and which module should the demo lead with?</t>
        </is>
      </c>
      <c r="C18" s="5" t="inlineStr">
        <is>
          <t>Decides where rework effort goes first. From the team's validation tracker (problem and priority module).</t>
        </is>
      </c>
      <c r="D18" s="5" t="inlineStr">
        <is>
          <t>Portfolio Health · Profitability · SKU Rationalization · Launch Readiness · Signals</t>
        </is>
      </c>
      <c r="E18" s="5" t="inlineStr">
        <is>
          <t>Lead with Portfolio Health — VP-primary, and where the decision journey starts</t>
        </is>
      </c>
      <c r="F18" s="5" t="inlineStr">
        <is>
          <t>Lead with Portfolio Health</t>
        </is>
      </c>
      <c r="G18" s="5" t="inlineStr">
        <is>
          <t>Programme owner</t>
        </is>
      </c>
      <c r="H18" s="5" t="inlineStr">
        <is>
          <t>M1</t>
        </is>
      </c>
      <c r="I18" s="20">
        <f>IFERROR(IF(INDEX('Stakeholder Meetings'!$G$5:$G$12,MATCH(LEFT(H18,2),'Stakeholder Meetings'!$A$5:$A$12,0))="","",INDEX('Stakeholder Meetings'!$G$5:$G$12,MATCH(LEFT(H18,2),'Stakeholder Meetings'!$A$5:$A$12,0))),"")</f>
        <v/>
      </c>
      <c r="J18" s="5" t="inlineStr">
        <is>
          <t>Open</t>
        </is>
      </c>
      <c r="K18" s="10" t="n"/>
    </row>
    <row r="19" ht="37.3" customHeight="1">
      <c r="A19" s="4" t="inlineStr">
        <is>
          <t>Q15</t>
        </is>
      </c>
      <c r="B19" s="4" t="inlineStr">
        <is>
          <t>Which agent decisions may be automated, and which only recommended?</t>
        </is>
      </c>
      <c r="C19" s="5" t="inlineStr">
        <is>
          <t>Decides agent design (4.1). From the team's validation tracker (agentic scope).</t>
        </is>
      </c>
      <c r="D19" s="5" t="inlineStr">
        <is>
          <t>Recommend only
Automate low-risk alerts
Automate actions</t>
        </is>
      </c>
      <c r="E19" s="5" t="inlineStr">
        <is>
          <t>Agents detect and recommend; a person approves every action</t>
        </is>
      </c>
      <c r="F19" s="5" t="inlineStr">
        <is>
          <t>Recommend only</t>
        </is>
      </c>
      <c r="G19" s="5" t="inlineStr">
        <is>
          <t>Programme owner</t>
        </is>
      </c>
      <c r="H19" s="5" t="inlineStr">
        <is>
          <t>M4</t>
        </is>
      </c>
      <c r="I19" s="20">
        <f>IFERROR(IF(INDEX('Stakeholder Meetings'!$G$5:$G$12,MATCH(LEFT(H19,2),'Stakeholder Meetings'!$A$5:$A$12,0))="","",INDEX('Stakeholder Meetings'!$G$5:$G$12,MATCH(LEFT(H19,2),'Stakeholder Meetings'!$A$5:$A$12,0))),"")</f>
        <v/>
      </c>
      <c r="J19" s="5" t="inlineStr">
        <is>
          <t>Open</t>
        </is>
      </c>
      <c r="K19" s="10" t="n"/>
    </row>
  </sheetData>
  <conditionalFormatting sqref="J5:J19">
    <cfRule type="cellIs" priority="1" operator="equal" dxfId="4">
      <formula>"Open"</formula>
    </cfRule>
    <cfRule type="cellIs" priority="2" operator="equal" dxfId="5">
      <formula>"Answered"</formula>
    </cfRule>
    <cfRule type="cellIs" priority="3" operator="equal" dxfId="1">
      <formula>"Defaulted"</formula>
    </cfRule>
    <cfRule type="cellIs" priority="4" operator="equal" dxfId="0">
      <formula>"Deferred"</formula>
    </cfRule>
  </conditionalFormatting>
  <dataValidations count="1">
    <dataValidation sqref="J5:J19" showDropDown="0" showInputMessage="0" showErrorMessage="0" allowBlank="1" type="list">
      <formula1>"Open,Answered,Defaulted,Deferred"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BF8F00"/>
    <outlinePr summaryBelow="1" summaryRight="1"/>
    <pageSetUpPr/>
  </sheetPr>
  <dimension ref="A1:J12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5"/>
  <cols>
    <col width="6" customWidth="1" min="1" max="1"/>
    <col width="26" customWidth="1" min="2" max="2"/>
    <col width="40" customWidth="1" min="3" max="3"/>
    <col width="22" customWidth="1" min="4" max="4"/>
    <col width="40" customWidth="1" min="5" max="5"/>
    <col width="30" customWidth="1" min="6" max="6"/>
    <col width="13" customWidth="1" min="7" max="7"/>
    <col width="9" customWidth="1" min="8" max="8"/>
    <col width="15" customWidth="1" min="9" max="9"/>
    <col width="40" customWidth="1" min="10" max="10"/>
  </cols>
  <sheetData>
    <row r="1" ht="20.1" customHeight="1">
      <c r="A1" s="1" t="inlineStr">
        <is>
          <t>Stakeholder Meetings — clearing scope and misunderstandings</t>
        </is>
      </c>
    </row>
    <row r="2">
      <c r="A2" s="2" t="inlineStr">
        <is>
          <t>Schedule M8 and M1 first. Light yellow = please fill in.</t>
        </is>
      </c>
    </row>
    <row r="4">
      <c r="A4" s="3" t="inlineStr">
        <is>
          <t>#</t>
        </is>
      </c>
      <c r="B4" s="3" t="inlineStr">
        <is>
          <t>Meeting</t>
        </is>
      </c>
      <c r="C4" s="3" t="inlineStr">
        <is>
          <t>Purpose</t>
        </is>
      </c>
      <c r="D4" s="3" t="inlineStr">
        <is>
          <t>Questions to settle</t>
        </is>
      </c>
      <c r="E4" s="3" t="inlineStr">
        <is>
          <t>Suggested attendees</t>
        </is>
      </c>
      <c r="F4" s="3" t="inlineStr">
        <is>
          <t>Pre-read</t>
        </is>
      </c>
      <c r="G4" s="3" t="inlineStr">
        <is>
          <t>Proposed date</t>
        </is>
      </c>
      <c r="H4" s="3" t="inlineStr">
        <is>
          <t>Length</t>
        </is>
      </c>
      <c r="I4" s="3" t="inlineStr">
        <is>
          <t>Status</t>
        </is>
      </c>
      <c r="J4" s="3" t="inlineStr">
        <is>
          <t>Decisions / outcome</t>
        </is>
      </c>
    </row>
    <row r="5" ht="24.85" customHeight="1">
      <c r="A5" s="4" t="inlineStr">
        <is>
          <t>M8</t>
        </is>
      </c>
      <c r="B5" s="4" t="inlineStr">
        <is>
          <t>Team plan alignment</t>
        </is>
      </c>
      <c r="C5" s="5" t="inlineStr">
        <is>
          <t>Adopt this merged tracker as the only plan; put names against roles; estimate 3.2–3.6.</t>
        </is>
      </c>
      <c r="D5" s="5" t="inlineStr">
        <is>
          <t>D13, R19, R21</t>
        </is>
      </c>
      <c r="E5" s="5" t="inlineStr">
        <is>
          <t>Project team</t>
        </is>
      </c>
      <c r="F5" s="5" t="inlineStr">
        <is>
          <t>This tracker</t>
        </is>
      </c>
      <c r="G5" s="21" t="n"/>
      <c r="H5" s="5" t="inlineStr">
        <is>
          <t>45 min</t>
        </is>
      </c>
      <c r="I5" s="5" t="inlineStr">
        <is>
          <t>Not scheduled</t>
        </is>
      </c>
      <c r="J5" s="10" t="n"/>
    </row>
    <row r="6" ht="24.85" customHeight="1">
      <c r="A6" s="4" t="inlineStr">
        <is>
          <t>M1</t>
        </is>
      </c>
      <c r="B6" s="4" t="inlineStr">
        <is>
          <t>Scope and positioning</t>
        </is>
      </c>
      <c r="C6" s="5" t="inlineStr">
        <is>
          <t>Agree what Lab 8 is for, its deadline, and what the demo leads with.</t>
        </is>
      </c>
      <c r="D6" s="5" t="inlineStr">
        <is>
          <t>Q1, Q9, Q11, Q14</t>
        </is>
      </c>
      <c r="E6" s="5" t="inlineStr">
        <is>
          <t>Lab 8 programme owner; Acies GTM or practice lead; Guna</t>
        </is>
      </c>
      <c r="F6" s="5" t="inlineStr">
        <is>
          <t>pitch.md; Report 3</t>
        </is>
      </c>
      <c r="G6" s="21" t="n"/>
      <c r="H6" s="5" t="inlineStr">
        <is>
          <t>60 min</t>
        </is>
      </c>
      <c r="I6" s="5" t="inlineStr">
        <is>
          <t>Not scheduled</t>
        </is>
      </c>
      <c r="J6" s="10" t="n"/>
    </row>
    <row r="7" ht="24.85" customHeight="1">
      <c r="A7" s="4" t="inlineStr">
        <is>
          <t>M2</t>
        </is>
      </c>
      <c r="B7" s="4" t="inlineStr">
        <is>
          <t>Metrics, data and decision rules</t>
        </is>
      </c>
      <c r="C7" s="5" t="inlineStr">
        <is>
          <t>One revenue baseline, the six KPIs, unsupported cards, and one decision vocabulary.</t>
        </is>
      </c>
      <c r="D7" s="5" t="inlineStr">
        <is>
          <t>Q2, Q3, Q4, Q5, Q6, Q13</t>
        </is>
      </c>
      <c r="E7" s="5" t="inlineStr">
        <is>
          <t>Programme owner; FMCG or finance SME; Guna</t>
        </is>
      </c>
      <c r="F7" s="5" t="inlineStr">
        <is>
          <t>Report 1; Gap Analysis tab</t>
        </is>
      </c>
      <c r="G7" s="21" t="n"/>
      <c r="H7" s="5" t="inlineStr">
        <is>
          <t>60 min</t>
        </is>
      </c>
      <c r="I7" s="5" t="inlineStr">
        <is>
          <t>Not scheduled</t>
        </is>
      </c>
      <c r="J7" s="10" t="n"/>
    </row>
    <row r="8" ht="24.85" customHeight="1">
      <c r="A8" s="4" t="inlineStr">
        <is>
          <t>M3</t>
        </is>
      </c>
      <c r="B8" s="4" t="inlineStr">
        <is>
          <t>Tabs and personas sign-off</t>
        </is>
      </c>
      <c r="C8" s="5" t="inlineStr">
        <is>
          <t>Approve the five domain tabs and what each persona sees.</t>
        </is>
      </c>
      <c r="D8" s="5" t="inlineStr">
        <is>
          <t>Q7, Q8</t>
        </is>
      </c>
      <c r="E8" s="5" t="inlineStr">
        <is>
          <t>Programme owner; UX / design; persona representatives if available; Guna</t>
        </is>
      </c>
      <c r="F8" s="5" t="inlineStr">
        <is>
          <t>Report 2; Personas &amp; Journey tab</t>
        </is>
      </c>
      <c r="G8" s="21" t="n"/>
      <c r="H8" s="5" t="inlineStr">
        <is>
          <t>45 min</t>
        </is>
      </c>
      <c r="I8" s="5" t="inlineStr">
        <is>
          <t>Not scheduled</t>
        </is>
      </c>
      <c r="J8" s="10" t="n"/>
    </row>
    <row r="9" ht="24.85" customHeight="1">
      <c r="A9" s="4" t="inlineStr">
        <is>
          <t>M4</t>
        </is>
      </c>
      <c r="B9" s="4" t="inlineStr">
        <is>
          <t>Delivery and infrastructure</t>
        </is>
      </c>
      <c r="C9" s="5" t="inlineStr">
        <is>
          <t>Hosting, LLM budget, and what agents may do on their own.</t>
        </is>
      </c>
      <c r="D9" s="5" t="inlineStr">
        <is>
          <t>Q10, Q12, Q15</t>
        </is>
      </c>
      <c r="E9" s="5" t="inlineStr">
        <is>
          <t>Programme owner; infrastructure / IT; budget holder; Guna</t>
        </is>
      </c>
      <c r="F9" s="5" t="inlineStr">
        <is>
          <t>Architecture Roadmap tab</t>
        </is>
      </c>
      <c r="G9" s="21" t="n"/>
      <c r="H9" s="5" t="inlineStr">
        <is>
          <t>45 min</t>
        </is>
      </c>
      <c r="I9" s="5" t="inlineStr">
        <is>
          <t>Not scheduled</t>
        </is>
      </c>
      <c r="J9" s="10" t="n"/>
    </row>
    <row r="10" ht="24.85" customHeight="1">
      <c r="A10" s="4" t="inlineStr">
        <is>
          <t>M5</t>
        </is>
      </c>
      <c r="B10" s="4" t="inlineStr">
        <is>
          <t>Reverse KT with the previous team</t>
        </is>
      </c>
      <c r="C10" s="5" t="inlineStr">
        <is>
          <t>Play back our understanding; close gaps on data origin, persona views and the real brand names.</t>
        </is>
      </c>
      <c r="D10" s="5" t="inlineStr">
        <is>
          <t>—</t>
        </is>
      </c>
      <c r="E10" s="5" t="inlineStr">
        <is>
          <t>Amita; SreeVyshnavi; acies-Jai / Jaiadithya A; Guna</t>
        </is>
      </c>
      <c r="F10" s="5" t="inlineStr">
        <is>
          <t>Handover Findings tab</t>
        </is>
      </c>
      <c r="G10" s="21" t="n"/>
      <c r="H10" s="5" t="inlineStr">
        <is>
          <t>60 min</t>
        </is>
      </c>
      <c r="I10" s="5" t="inlineStr">
        <is>
          <t>Not scheduled</t>
        </is>
      </c>
      <c r="J10" s="10" t="n"/>
    </row>
    <row r="11" ht="24.85" customHeight="1">
      <c r="A11" s="4" t="inlineStr">
        <is>
          <t>M6</t>
        </is>
      </c>
      <c r="B11" s="4" t="inlineStr">
        <is>
          <t>Weekly status</t>
        </is>
      </c>
      <c r="C11" s="5" t="inlineStr">
        <is>
          <t>Walk this tracker; unblock anything Blocked or At risk.</t>
        </is>
      </c>
      <c r="D11" s="5" t="inlineStr">
        <is>
          <t>As needed</t>
        </is>
      </c>
      <c r="E11" s="5" t="inlineStr">
        <is>
          <t>Programme owner; project team</t>
        </is>
      </c>
      <c r="F11" s="5" t="inlineStr">
        <is>
          <t>This tracker</t>
        </is>
      </c>
      <c r="G11" s="22" t="inlineStr">
        <is>
          <t>Weekly</t>
        </is>
      </c>
      <c r="H11" s="5" t="inlineStr">
        <is>
          <t>30 min</t>
        </is>
      </c>
      <c r="I11" s="5" t="inlineStr">
        <is>
          <t>Not scheduled</t>
        </is>
      </c>
      <c r="J11" s="10" t="n"/>
    </row>
    <row r="12" ht="24.85" customHeight="1">
      <c r="A12" s="4" t="inlineStr">
        <is>
          <t>M7</t>
        </is>
      </c>
      <c r="B12" s="4" t="inlineStr">
        <is>
          <t>Demo dry run</t>
        </is>
      </c>
      <c r="C12" s="5" t="inlineStr">
        <is>
          <t>Rehearse the demo end to end before a client sees it.</t>
        </is>
      </c>
      <c r="D12" s="5" t="inlineStr">
        <is>
          <t>—</t>
        </is>
      </c>
      <c r="E12" s="5" t="inlineStr">
        <is>
          <t>Programme owner; one VP-level reviewer</t>
        </is>
      </c>
      <c r="F12" s="5" t="inlineStr">
        <is>
          <t>Personas &amp; Journey tab (section C)</t>
        </is>
      </c>
      <c r="G12" s="21" t="n"/>
      <c r="H12" s="5" t="inlineStr">
        <is>
          <t>60 min</t>
        </is>
      </c>
      <c r="I12" s="5" t="inlineStr">
        <is>
          <t>Not scheduled</t>
        </is>
      </c>
      <c r="J12" s="10" t="n"/>
    </row>
  </sheetData>
  <conditionalFormatting sqref="I5:I12">
    <cfRule type="cellIs" priority="1" operator="equal" dxfId="0">
      <formula>"Not scheduled"</formula>
    </cfRule>
    <cfRule type="cellIs" priority="2" operator="equal" dxfId="1">
      <formula>"Scheduled"</formula>
    </cfRule>
    <cfRule type="cellIs" priority="3" operator="equal" dxfId="5">
      <formula>"Held"</formula>
    </cfRule>
    <cfRule type="cellIs" priority="4" operator="equal" dxfId="6">
      <formula>"Cancelled"</formula>
    </cfRule>
  </conditionalFormatting>
  <dataValidations count="1">
    <dataValidation sqref="I5:I12" showDropDown="0" showInputMessage="0" showErrorMessage="0" allowBlank="1" type="list">
      <formula1>"Not scheduled,Scheduled,Held,Cancelled"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E75B6"/>
    <outlinePr summaryBelow="1" summaryRight="1"/>
    <pageSetUpPr/>
  </sheetPr>
  <dimension ref="A1:K48"/>
  <sheetViews>
    <sheetView showGridLines="0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5"/>
  <cols>
    <col width="5" customWidth="1" min="1" max="1"/>
    <col width="16" customWidth="1" min="2" max="2"/>
    <col width="24" customWidth="1" min="3" max="3"/>
    <col width="44" customWidth="1" min="4" max="6"/>
    <col width="30" customWidth="1" min="7" max="8"/>
    <col width="18" customWidth="1" min="9" max="9"/>
    <col width="8" customWidth="1" min="10" max="10"/>
    <col width="40" customWidth="1" min="11" max="11"/>
  </cols>
  <sheetData>
    <row r="1" ht="20.1" customHeight="1">
      <c r="A1" s="1" t="inlineStr">
        <is>
          <t>Gap Analysis — requirements backlog</t>
        </is>
      </c>
    </row>
    <row r="2">
      <c r="A2" s="2" t="inlineStr">
        <is>
          <t>The team's functional reviews, carried verbatim (Research_doc/…Project_Tracker 1.xlsx). 'Plan step' and 'Our note' are added. Profitability, SKU Rationalization and Signals have no review yet.</t>
        </is>
      </c>
    </row>
    <row r="4" ht="24.85" customHeight="1">
      <c r="A4" s="3" t="inlineStr">
        <is>
          <t>#</t>
        </is>
      </c>
      <c r="B4" s="3" t="inlineStr">
        <is>
          <t>Module</t>
        </is>
      </c>
      <c r="C4" s="3" t="inlineStr">
        <is>
          <t>Area</t>
        </is>
      </c>
      <c r="D4" s="3" t="inlineStr">
        <is>
          <t>What the existing solution shows</t>
        </is>
      </c>
      <c r="E4" s="3" t="inlineStr">
        <is>
          <t>Gap</t>
        </is>
      </c>
      <c r="F4" s="3" t="inlineStr">
        <is>
          <t>Recommended improvement</t>
        </is>
      </c>
      <c r="G4" s="3" t="inlineStr">
        <is>
          <t>Decision supported / business impact</t>
        </is>
      </c>
      <c r="H4" s="3" t="inlineStr">
        <is>
          <t>Validation needed</t>
        </is>
      </c>
      <c r="I4" s="3" t="inlineStr">
        <is>
          <t>Team status</t>
        </is>
      </c>
      <c r="J4" s="3" t="inlineStr">
        <is>
          <t>Plan step</t>
        </is>
      </c>
      <c r="K4" s="3" t="inlineStr">
        <is>
          <t>Our note</t>
        </is>
      </c>
    </row>
    <row r="5" ht="74.55" customHeight="1">
      <c r="A5" s="5" t="n">
        <v>1</v>
      </c>
      <c r="B5" s="5" t="inlineStr">
        <is>
          <t>Portfolio Health</t>
        </is>
      </c>
      <c r="C5" s="4" t="inlineStr">
        <is>
          <t>Executive KPI layer</t>
        </is>
      </c>
      <c r="D5" s="5" t="inlineStr">
        <is>
          <t>Net Sales $480M; Avg Gross Margin 38.47%; Revenue Concentration 27.81%; Long-tail SKU Burden 66.7%; second KPI row includes Revenue, SKU Count, Growth, Orders Today, Forecast Attainment.</t>
        </is>
      </c>
      <c r="E5" s="5" t="inlineStr">
        <is>
          <t>Strong executive KPI coverage, but the KPI hierarchy mixes strategic portfolio metrics with operational metrics. 'Orders – Today' may be useful operationally but should be validated as a VP portfolio-health KPI.</t>
        </is>
      </c>
      <c r="F5" s="5" t="inlineStr">
        <is>
          <t>Separate Strategic Portfolio KPIs from Operational Signals. Consider Portfolio Revenue vs Target, Gross Margin vs Target, Revenue at Risk, Portfolio ROI/Contribution, Long-tail Burden, and Growth. Move Orders Today to an operational/signal layer if not decision-critical.</t>
        </is>
      </c>
      <c r="G5" s="5" t="inlineStr">
        <is>
          <t>What requires executive attention at portfolio level today?</t>
        </is>
      </c>
      <c r="H5" s="5" t="inlineStr">
        <is>
          <t>Validate KPI ownership and executive use cases.</t>
        </is>
      </c>
      <c r="I5" s="5" t="inlineStr">
        <is>
          <t>Potential Gap – Validate</t>
        </is>
      </c>
      <c r="J5" s="5" t="inlineStr">
        <is>
          <t>3.2</t>
        </is>
      </c>
      <c r="K5" s="5" t="n"/>
    </row>
    <row r="6" ht="37.3" customHeight="1">
      <c r="A6" s="5" t="n">
        <v>2</v>
      </c>
      <c r="B6" s="5" t="inlineStr">
        <is>
          <t>Portfolio Health</t>
        </is>
      </c>
      <c r="C6" s="4" t="inlineStr">
        <is>
          <t>KPI targets &amp; variance</t>
        </is>
      </c>
      <c r="D6" s="5" t="inlineStr">
        <is>
          <t>Several cards show TARGET, but some target fields display '-' while others have explicit targets such as $900M, 100 SKUs, 10%, 5000, 97%.</t>
        </is>
      </c>
      <c r="E6" s="5" t="inlineStr">
        <is>
          <t>Target availability is inconsistent. A KPI without a defined target cannot reliably indicate health or trigger action.</t>
        </is>
      </c>
      <c r="F6" s="5" t="inlineStr">
        <is>
          <t>Define target, benchmark and tolerance for every strategic KPI. Show Actual / Target / Variance / Trend consistently.</t>
        </is>
      </c>
      <c r="G6" s="5" t="inlineStr">
        <is>
          <t>Are we on track against the agreed portfolio objectives?</t>
        </is>
      </c>
      <c r="H6" s="5" t="inlineStr">
        <is>
          <t>Confirm target source, period and tolerance by KPI.</t>
        </is>
      </c>
      <c r="I6" s="5" t="inlineStr">
        <is>
          <t>Needs Business Validation</t>
        </is>
      </c>
      <c r="J6" s="5" t="inlineStr">
        <is>
          <t>2.3</t>
        </is>
      </c>
      <c r="K6" s="5" t="n"/>
    </row>
    <row r="7" ht="49.7" customHeight="1">
      <c r="A7" s="5" t="n">
        <v>3</v>
      </c>
      <c r="B7" s="5" t="inlineStr">
        <is>
          <t>Portfolio Health</t>
        </is>
      </c>
      <c r="C7" s="4" t="inlineStr">
        <is>
          <t>Portfolio Health Score</t>
        </is>
      </c>
      <c r="D7" s="5" t="inlineStr">
        <is>
          <t>88% HEALTH with 'OPTIMAL / ON-TRACK' and a statement about high-margin cash cows and growing products.</t>
        </is>
      </c>
      <c r="E7" s="5" t="inlineStr">
        <is>
          <t>The overall score is decision-friendly but its composition is not visible. Users cannot easily see which dimensions produced 88%.</t>
        </is>
      </c>
      <c r="F7" s="5" t="inlineStr">
        <is>
          <t>Add score decomposition: profitability, growth, concentration, lifecycle, complexity, risk, customer/market health and supply/service. Show weights, thresholds and top positive/negative drivers.</t>
        </is>
      </c>
      <c r="G7" s="5" t="inlineStr">
        <is>
          <t>Why is portfolio health 88%, and what could change it?</t>
        </is>
      </c>
      <c r="H7" s="5" t="inlineStr">
        <is>
          <t>Validate scoring model, weights and thresholds.</t>
        </is>
      </c>
      <c r="I7" s="5" t="inlineStr">
        <is>
          <t>Potential Gap – Validate</t>
        </is>
      </c>
      <c r="J7" s="5" t="inlineStr">
        <is>
          <t>3.2</t>
        </is>
      </c>
      <c r="K7" s="5" t="n"/>
    </row>
    <row r="8" ht="37.3" customHeight="1">
      <c r="A8" s="5" t="n">
        <v>4</v>
      </c>
      <c r="B8" s="5" t="inlineStr">
        <is>
          <t>Portfolio Health</t>
        </is>
      </c>
      <c r="C8" s="4" t="inlineStr">
        <is>
          <t>Lifecycle Journey</t>
        </is>
      </c>
      <c r="D8" s="5" t="inlineStr">
        <is>
          <t>119 SKUs reconcile across Introduction 7, Growth 37, Maturity 54, Decline 21. Revenue shown by stage totals $10,592M.</t>
        </is>
      </c>
      <c r="E8" s="5" t="inlineStr">
        <is>
          <t>Lifecycle view is useful for portfolio shape and stage efficiency. It primarily describes where products are; it does not explicitly prescribe what to do.</t>
        </is>
      </c>
      <c r="F8" s="5" t="inlineStr">
        <is>
          <t>Add stage-specific actions: invest, scale, defend, optimize, reposition, harvest or sunset, with revenue/margin/risk implications.</t>
        </is>
      </c>
      <c r="G8" s="5" t="inlineStr">
        <is>
          <t>Where should we invest or intervene across the lifecycle?</t>
        </is>
      </c>
      <c r="H8" s="5" t="inlineStr">
        <is>
          <t>Validate lifecycle rules and action playbooks.</t>
        </is>
      </c>
      <c r="I8" s="5" t="inlineStr">
        <is>
          <t>Potential Gap – Validate</t>
        </is>
      </c>
      <c r="J8" s="5" t="inlineStr">
        <is>
          <t>3.2</t>
        </is>
      </c>
      <c r="K8" s="5" t="n"/>
    </row>
    <row r="9" ht="49.7" customHeight="1">
      <c r="A9" s="5" t="n">
        <v>5</v>
      </c>
      <c r="B9" s="5" t="inlineStr">
        <is>
          <t>Portfolio Health</t>
        </is>
      </c>
      <c r="C9" s="4" t="inlineStr">
        <is>
          <t>Lifecycle efficiency</t>
        </is>
      </c>
      <c r="D9" s="5" t="inlineStr">
        <is>
          <t>Growth is labeled Most Efficient; Decline Least Efficient with ratios 112.5 and 48.0.</t>
        </is>
      </c>
      <c r="E9" s="5" t="inlineStr">
        <is>
          <t>The ratio formula and business meaning are not visible. Users may not know whether the ratio represents revenue/SKU, margin/SKU, growth efficiency or another measure.</t>
        </is>
      </c>
      <c r="F9" s="5" t="inlineStr">
        <is>
          <t>Expose ratio definition, formula, benchmark and interpretation. Allow drill-down to products causing stage inefficiency.</t>
        </is>
      </c>
      <c r="G9" s="5" t="inlineStr">
        <is>
          <t>Which lifecycle stage creates or destroys the most value?</t>
        </is>
      </c>
      <c r="H9" s="5" t="inlineStr">
        <is>
          <t>Confirm formula and benchmark logic.</t>
        </is>
      </c>
      <c r="I9" s="5" t="inlineStr">
        <is>
          <t>Needs Logic Validation</t>
        </is>
      </c>
      <c r="J9" s="5" t="inlineStr">
        <is>
          <t>2.3</t>
        </is>
      </c>
      <c r="K9" s="5" t="n"/>
    </row>
    <row r="10" ht="49.7" customHeight="1">
      <c r="A10" s="5" t="n">
        <v>6</v>
      </c>
      <c r="B10" s="5" t="inlineStr">
        <is>
          <t>Portfolio Health</t>
        </is>
      </c>
      <c r="C10" s="4" t="inlineStr">
        <is>
          <t>Portfolio data reconciliation</t>
        </is>
      </c>
      <c r="D10" s="5" t="inlineStr">
        <is>
          <t>Top cards show Net Sales $480M and Portfolio Revenue $1,071.1M; lifecycle section shows Total Revenue $10,592M. Product examples show revenues such as $137.38M.</t>
        </is>
      </c>
      <c r="E10" s="5" t="inlineStr">
        <is>
          <t>These figures may represent different scopes, periods, currencies or aggregation levels, but the screenshot does not make the distinctions clear.</t>
        </is>
      </c>
      <c r="F10" s="5" t="inlineStr">
        <is>
          <t>Add period, currency, scope and data-source labels. Reconcile portfolio totals with lifecycle, matrices and SKU-level views or clearly explain why they differ.</t>
        </is>
      </c>
      <c r="G10" s="5" t="inlineStr">
        <is>
          <t>Can executives trust that all portfolio views use consistent data?</t>
        </is>
      </c>
      <c r="H10" s="5" t="inlineStr">
        <is>
          <t>Perform data reconciliation across all displayed revenue metrics.</t>
        </is>
      </c>
      <c r="I10" s="5" t="inlineStr">
        <is>
          <t>Critical Validation</t>
        </is>
      </c>
      <c r="J10" s="5" t="inlineStr">
        <is>
          <t>3.1c</t>
        </is>
      </c>
      <c r="K10" s="5" t="inlineStr">
        <is>
          <t>Confirmed 22 Sep: the lifecycle 'Total Revenue' sums a per-SKU field that is not in $M (LifecycleHealthPanel.tsx:100) — about 22× actual net sales. See R18.</t>
        </is>
      </c>
    </row>
    <row r="11" ht="37.3" customHeight="1">
      <c r="A11" s="5" t="n">
        <v>7</v>
      </c>
      <c r="B11" s="5" t="inlineStr">
        <is>
          <t>Portfolio Health</t>
        </is>
      </c>
      <c r="C11" s="4" t="inlineStr">
        <is>
          <t>Portfolio SKU Count</t>
        </is>
      </c>
      <c r="D11" s="5" t="inlineStr">
        <is>
          <t>119 SKUs; target 100; trend says -3 SKUs rationalized.</t>
        </is>
      </c>
      <c r="E11" s="5" t="inlineStr">
        <is>
          <t>Good context for complexity, but SKU count alone does not indicate whether rationalization created value.</t>
        </is>
      </c>
      <c r="F11" s="5" t="inlineStr">
        <is>
          <t>Pair SKU count with gross margin contribution, revenue retained/lost, complexity cost removed, working capital released and service/customer impact.</t>
        </is>
      </c>
      <c r="G11" s="5" t="inlineStr">
        <is>
          <t>Did SKU rationalization actually improve the portfolio?</t>
        </is>
      </c>
      <c r="H11" s="5" t="inlineStr">
        <is>
          <t>Validate rationalization outcome metrics.</t>
        </is>
      </c>
      <c r="I11" s="5" t="inlineStr">
        <is>
          <t>Potential Gap – Validate</t>
        </is>
      </c>
      <c r="J11" s="5" t="inlineStr">
        <is>
          <t>3.2</t>
        </is>
      </c>
      <c r="K11" s="5" t="inlineStr">
        <is>
          <t>The dataset has 119 SKUs; the target of 100 is authored, not derived.</t>
        </is>
      </c>
    </row>
    <row r="12" ht="49.7" customHeight="1">
      <c r="A12" s="5" t="n">
        <v>8</v>
      </c>
      <c r="B12" s="5" t="inlineStr">
        <is>
          <t>Portfolio Health</t>
        </is>
      </c>
      <c r="C12" s="4" t="inlineStr">
        <is>
          <t>Long-tail SKU Burden</t>
        </is>
      </c>
      <c r="D12" s="5" t="inlineStr">
        <is>
          <t>66.7% and note '68 SKUs &lt;1% REV'. Long-tail view also uses bottom 70% and says 18 long-tail items consume massive supplier overhead.</t>
        </is>
      </c>
      <c r="E12" s="5" t="inlineStr">
        <is>
          <t>The screen identifies a long-tail problem, which is valuable. However, revenue-only screening can miss strategically important low-volume products and operational complexity drivers.</t>
        </is>
      </c>
      <c r="F12" s="5" t="inlineStr">
        <is>
          <t>Add margin, cost-to-serve, supplier count, component/commonality, changeovers, inventory, customer/channel dependency and strategic role before recommending pruning.</t>
        </is>
      </c>
      <c r="G12" s="5" t="inlineStr">
        <is>
          <t>Which SKUs are truly value-dilutive versus strategically necessary?</t>
        </is>
      </c>
      <c r="H12" s="5" t="inlineStr">
        <is>
          <t>Validate long-tail definition and strategic-exception rules.</t>
        </is>
      </c>
      <c r="I12" s="5" t="inlineStr">
        <is>
          <t>Potential Gap – Validate</t>
        </is>
      </c>
      <c r="J12" s="5" t="inlineStr">
        <is>
          <t>2.3</t>
        </is>
      </c>
      <c r="K12" s="5" t="inlineStr">
        <is>
          <t>Report 1 also found this metric structurally inflated: the mean SKU share (0.84%) is below the 1% threshold, so an average SKU counts as long tail.</t>
        </is>
      </c>
    </row>
    <row r="13" ht="49.7" customHeight="1">
      <c r="A13" s="5" t="n">
        <v>9</v>
      </c>
      <c r="B13" s="5" t="inlineStr">
        <is>
          <t>Portfolio Health</t>
        </is>
      </c>
      <c r="C13" s="4" t="inlineStr">
        <is>
          <t>Investment vs Return Margin Map</t>
        </is>
      </c>
      <c r="D13" s="5" t="inlineStr">
        <is>
          <t>Products are segmented into Quick Wins, Strategic, Niche and Avoid/High Risk; investment is on x-axis and return margin on y-axis; approval action is available.</t>
        </is>
      </c>
      <c r="E13" s="5" t="inlineStr">
        <is>
          <t>This supports capital allocation, but 'return' and decision thresholds need clearer definitions. A margin percentage alone may not capture absolute value, payback or risk.</t>
        </is>
      </c>
      <c r="F13" s="5" t="inlineStr">
        <is>
          <t>Use incremental ROI/NPV/payback or contribution where appropriate; show investment, incremental revenue, margin contribution, risk, time-to-value and scenario outcome.</t>
        </is>
      </c>
      <c r="G13" s="5" t="inlineStr">
        <is>
          <t>Where should incremental investment go?</t>
        </is>
      </c>
      <c r="H13" s="5" t="inlineStr">
        <is>
          <t>Validate return definition and investment decision methodology.</t>
        </is>
      </c>
      <c r="I13" s="5" t="inlineStr">
        <is>
          <t>Potential Gap – Validate</t>
        </is>
      </c>
      <c r="J13" s="5" t="inlineStr">
        <is>
          <t>3.2</t>
        </is>
      </c>
      <c r="K13" s="5" t="n"/>
    </row>
    <row r="14" ht="37.3" customHeight="1">
      <c r="A14" s="5" t="n">
        <v>10</v>
      </c>
      <c r="B14" s="5" t="inlineStr">
        <is>
          <t>Portfolio Health</t>
        </is>
      </c>
      <c r="C14" s="4" t="inlineStr">
        <is>
          <t>Investment approval workflow</t>
        </is>
      </c>
      <c r="D14" s="5" t="inlineStr">
        <is>
          <t>Cards include Review Metrics and Approve Investment; portfolio also has an Executive Approval Board with meeting/reminder actions.</t>
        </is>
      </c>
      <c r="E14" s="5" t="inlineStr">
        <is>
          <t>Approval is present, but the decision record and governance trail are not evident from the screenshots.</t>
        </is>
      </c>
      <c r="F14" s="5" t="inlineStr">
        <is>
          <t>Add recommendation, rationale, financial case, risk, owner, approver, decision date, conditions, approval/rejection, and audit history.</t>
        </is>
      </c>
      <c r="G14" s="5" t="inlineStr">
        <is>
          <t>Can an executive make and track a defensible investment decision?</t>
        </is>
      </c>
      <c r="H14" s="5" t="inlineStr">
        <is>
          <t>Validate approval governance and audit requirements.</t>
        </is>
      </c>
      <c r="I14" s="5" t="inlineStr">
        <is>
          <t>Potential Gap – Validate</t>
        </is>
      </c>
      <c r="J14" s="5" t="inlineStr">
        <is>
          <t>3.2</t>
        </is>
      </c>
      <c r="K14" s="5" t="n"/>
    </row>
    <row r="15" ht="49.7" customHeight="1">
      <c r="A15" s="5" t="n">
        <v>11</v>
      </c>
      <c r="B15" s="5" t="inlineStr">
        <is>
          <t>Portfolio Health</t>
        </is>
      </c>
      <c r="C15" s="4" t="inlineStr">
        <is>
          <t>Revenue vs Performance Matrix</t>
        </is>
      </c>
      <c r="D15" s="5" t="inlineStr">
        <is>
          <t>Portfolio is segmented into High Performers, Underperformers, Hidden Growth and Attention Required; product cards have Authorize Strategy.</t>
        </is>
      </c>
      <c r="E15" s="5" t="inlineStr">
        <is>
          <t>Useful segmentation, but the underlying Performance Score is not explained. The labels may hide multiple metrics.</t>
        </is>
      </c>
      <c r="F15" s="5" t="inlineStr">
        <is>
          <t>Show performance score decomposition: growth, margin, forecast attainment, service, customer/market signals, etc. Define quadrant thresholds and recommended actions.</t>
        </is>
      </c>
      <c r="G15" s="5" t="inlineStr">
        <is>
          <t>Which products deserve investment, intervention or repositioning?</t>
        </is>
      </c>
      <c r="H15" s="5" t="inlineStr">
        <is>
          <t>Validate score formula and quadrant rules.</t>
        </is>
      </c>
      <c r="I15" s="5" t="inlineStr">
        <is>
          <t>Potential Gap – Validate</t>
        </is>
      </c>
      <c r="J15" s="5" t="inlineStr">
        <is>
          <t>3.2</t>
        </is>
      </c>
      <c r="K15" s="5" t="n"/>
    </row>
    <row r="16" ht="49.7" customHeight="1">
      <c r="A16" s="5" t="n">
        <v>12</v>
      </c>
      <c r="B16" s="5" t="inlineStr">
        <is>
          <t>Portfolio Health</t>
        </is>
      </c>
      <c r="C16" s="4" t="inlineStr">
        <is>
          <t>Portfolio Alerts</t>
        </is>
      </c>
      <c r="D16" s="5" t="inlineStr">
        <is>
          <t>Four brand alerts show percentages (92%, 85%, 87%, 89%); header says 2 Critical.</t>
        </is>
      </c>
      <c r="E16" s="5" t="inlineStr">
        <is>
          <t>Alerts are actionable via Review, but the meaning of the percentage and why two are critical is unclear from the screen.</t>
        </is>
      </c>
      <c r="F16" s="5" t="inlineStr">
        <is>
          <t>Use explicit alert semantics: severity, trigger, metric, threshold, trend, business impact, owner and recommended action. Ensure critical count reconciles with alert list.</t>
        </is>
      </c>
      <c r="G16" s="5" t="inlineStr">
        <is>
          <t>What needs immediate intervention and why?</t>
        </is>
      </c>
      <c r="H16" s="5" t="inlineStr">
        <is>
          <t>Validate alert scoring, severity and count logic.</t>
        </is>
      </c>
      <c r="I16" s="5" t="inlineStr">
        <is>
          <t>Needs Logic Validation</t>
        </is>
      </c>
      <c r="J16" s="5" t="inlineStr">
        <is>
          <t>3.2</t>
        </is>
      </c>
      <c r="K16" s="5" t="n"/>
    </row>
    <row r="17" ht="37.3" customHeight="1">
      <c r="A17" s="5" t="n">
        <v>13</v>
      </c>
      <c r="B17" s="5" t="inlineStr">
        <is>
          <t>Portfolio Health</t>
        </is>
      </c>
      <c r="C17" s="4" t="inlineStr">
        <is>
          <t>Executive Approval Board</t>
        </is>
      </c>
      <c r="D17" s="5" t="inlineStr">
        <is>
          <t>Three pending items include SKU rationalization, compliance certification and launch readiness criteria, with wait times.</t>
        </is>
      </c>
      <c r="E17" s="5" t="inlineStr">
        <is>
          <t>This is useful as an action queue, but items span different decision types and lack visible business impact/context.</t>
        </is>
      </c>
      <c r="F17" s="5" t="inlineStr">
        <is>
          <t>Prioritize by value at risk, decision deadline, financial impact, customer impact and risk. Add recommended decision and dependencies.</t>
        </is>
      </c>
      <c r="G17" s="5" t="inlineStr">
        <is>
          <t>Which pending decision should the executive address first?</t>
        </is>
      </c>
      <c r="H17" s="5" t="inlineStr">
        <is>
          <t>Validate prioritization criteria and workflow states.</t>
        </is>
      </c>
      <c r="I17" s="5" t="inlineStr">
        <is>
          <t>Potential Gap – Validate</t>
        </is>
      </c>
      <c r="J17" s="5" t="inlineStr">
        <is>
          <t>3.2</t>
        </is>
      </c>
      <c r="K17" s="5" t="n"/>
    </row>
    <row r="18" ht="49.7" customHeight="1">
      <c r="A18" s="5" t="n">
        <v>14</v>
      </c>
      <c r="B18" s="5" t="inlineStr">
        <is>
          <t>Portfolio Health</t>
        </is>
      </c>
      <c r="C18" s="4" t="inlineStr">
        <is>
          <t>Pareto SKU Concentration</t>
        </is>
      </c>
      <c r="D18" s="5" t="inlineStr">
        <is>
          <t>Top 10%, Top 30%, Bottom 70% views; top 10% 26.4% sales and top 30% 60.4%; long-tail insights.</t>
        </is>
      </c>
      <c r="E18" s="5" t="inlineStr">
        <is>
          <t>Strong concentration analysis, but revenue concentration alone does not identify optimal portfolio actions.</t>
        </is>
      </c>
      <c r="F18" s="5" t="inlineStr">
        <is>
          <t>Extend Pareto with gross margin, contribution, complexity cost, inventory, supplier/component dependency and strategic/customer role. Link candidates directly to rationalization simulation.</t>
        </is>
      </c>
      <c r="G18" s="5" t="inlineStr">
        <is>
          <t>Where is concentration creating risk or opportunity?</t>
        </is>
      </c>
      <c r="H18" s="5" t="inlineStr">
        <is>
          <t>Validate additional dimensions and action linkage.</t>
        </is>
      </c>
      <c r="I18" s="5" t="inlineStr">
        <is>
          <t>Potential Gap – Validate</t>
        </is>
      </c>
      <c r="J18" s="5" t="inlineStr">
        <is>
          <t>3.2</t>
        </is>
      </c>
      <c r="K18" s="5" t="n"/>
    </row>
    <row r="19" ht="49.7" customHeight="1">
      <c r="A19" s="5" t="n">
        <v>15</v>
      </c>
      <c r="B19" s="5" t="inlineStr">
        <is>
          <t>Portfolio Health</t>
        </is>
      </c>
      <c r="C19" s="4" t="inlineStr">
        <is>
          <t>Rationalization linkage</t>
        </is>
      </c>
      <c r="D19" s="5" t="inlineStr">
        <is>
          <t>Approval item proposes Phase 1 sunset of 15 low-margin tail products.</t>
        </is>
      </c>
      <c r="E19" s="5" t="inlineStr">
        <is>
          <t>The dashboard surfaces rationalization decisions, but the visible Pareto/long-tail views do not show a quantified before/after business case for the 15 SKUs.</t>
        </is>
      </c>
      <c r="F19" s="5" t="inlineStr">
        <is>
          <t>Connect candidate selection to a rationalization simulator: revenue at risk, margin gain, inventory release, supplier/complexity savings, customer impact and replacement options.</t>
        </is>
      </c>
      <c r="G19" s="5" t="inlineStr">
        <is>
          <t>Which SKU set should be removed to maximize value with minimum downside?</t>
        </is>
      </c>
      <c r="H19" s="5" t="inlineStr">
        <is>
          <t>Validate rationalization model and exception handling.</t>
        </is>
      </c>
      <c r="I19" s="5" t="inlineStr">
        <is>
          <t>Strategic Enhancement</t>
        </is>
      </c>
      <c r="J19" s="5" t="inlineStr">
        <is>
          <t>3.5</t>
        </is>
      </c>
      <c r="K19" s="5" t="n"/>
    </row>
    <row r="20" ht="37.3" customHeight="1">
      <c r="A20" s="5" t="n">
        <v>16</v>
      </c>
      <c r="B20" s="5" t="inlineStr">
        <is>
          <t>Portfolio Health</t>
        </is>
      </c>
      <c r="C20" s="4" t="inlineStr">
        <is>
          <t>Strategic exceptions</t>
        </is>
      </c>
      <c r="D20" s="5" t="inlineStr">
        <is>
          <t>Low-volume/long-tail products may still have strategic roles, but no explicit exception mechanism is visible.</t>
        </is>
      </c>
      <c r="E20" s="5" t="inlineStr">
        <is>
          <t>Revenue-based pruning can incorrectly target products that support key customers, channels, geographies, bundles or future platforms.</t>
        </is>
      </c>
      <c r="F20" s="5" t="inlineStr">
        <is>
          <t>Add strategic-role flags and exceptions: anchor customer, channel requirement, regulatory need, bundle dependency, innovation role, platform dependency.</t>
        </is>
      </c>
      <c r="G20" s="5" t="inlineStr">
        <is>
          <t>Which low-performing SKUs must be retained and why?</t>
        </is>
      </c>
      <c r="H20" s="5" t="inlineStr">
        <is>
          <t>Confirm strategic exception taxonomy.</t>
        </is>
      </c>
      <c r="I20" s="5" t="inlineStr">
        <is>
          <t>Potential Gap – Validate</t>
        </is>
      </c>
      <c r="J20" s="5" t="inlineStr">
        <is>
          <t>2.5</t>
        </is>
      </c>
      <c r="K20" s="5" t="n"/>
    </row>
    <row r="21" ht="49.7" customHeight="1">
      <c r="A21" s="5" t="n">
        <v>17</v>
      </c>
      <c r="B21" s="5" t="inlineStr">
        <is>
          <t>Portfolio Health</t>
        </is>
      </c>
      <c r="C21" s="4" t="inlineStr">
        <is>
          <t>Scenario / What-if portfolio planning</t>
        </is>
      </c>
      <c r="D21" s="5" t="inlineStr">
        <is>
          <t>Investment map has capital allocation actions and rationalization is referenced, but an integrated portfolio scenario comparison is not visible.</t>
        </is>
      </c>
      <c r="E21" s="5" t="inlineStr">
        <is>
          <t>Portfolio health is largely descriptive. A stronger decision cockpit would allow leaders to test actions before approving them.</t>
        </is>
      </c>
      <c r="F21" s="5" t="inlineStr">
        <is>
          <t>Enable scenarios such as invest, price change, discontinue, launch, reposition, bundle, or increase/decrease distribution, with revenue, margin, SKU count, complexity and risk impact.</t>
        </is>
      </c>
      <c r="G21" s="5" t="inlineStr">
        <is>
          <t>What happens to the portfolio if we take this action?</t>
        </is>
      </c>
      <c r="H21" s="5" t="inlineStr">
        <is>
          <t>Validate required scenario levers and business rules.</t>
        </is>
      </c>
      <c r="I21" s="5" t="inlineStr">
        <is>
          <t>Strategic Enhancement</t>
        </is>
      </c>
      <c r="J21" s="5" t="inlineStr">
        <is>
          <t>3.2</t>
        </is>
      </c>
      <c r="K21" s="5" t="n"/>
    </row>
    <row r="22" ht="37.3" customHeight="1">
      <c r="A22" s="5" t="n">
        <v>18</v>
      </c>
      <c r="B22" s="5" t="inlineStr">
        <is>
          <t>Portfolio Health</t>
        </is>
      </c>
      <c r="C22" s="4" t="inlineStr">
        <is>
          <t>Cross-functional root cause</t>
        </is>
      </c>
      <c r="D22" s="5" t="inlineStr">
        <is>
          <t>Portfolio Health contains financial, lifecycle and operational-style indicators.</t>
        </is>
      </c>
      <c r="E22" s="5" t="inlineStr">
        <is>
          <t>The screen can identify where performance is weak, but root causes may sit in supply, pricing, customer, quality, market or product complexity.</t>
        </is>
      </c>
      <c r="F22" s="5" t="inlineStr">
        <is>
          <t>Link portfolio exceptions to Profitability, Signals, Launch Readiness and SKU Assortment so the user can move from symptom to cause to action.</t>
        </is>
      </c>
      <c r="G22" s="5" t="inlineStr">
        <is>
          <t>Why is the portfolio/product underperforming?</t>
        </is>
      </c>
      <c r="H22" s="5" t="inlineStr">
        <is>
          <t>Validate cross-tab navigation and ownership.</t>
        </is>
      </c>
      <c r="I22" s="5" t="inlineStr">
        <is>
          <t>Strategic Enhancement</t>
        </is>
      </c>
      <c r="J22" s="5" t="inlineStr">
        <is>
          <t>3.7</t>
        </is>
      </c>
      <c r="K22" s="5" t="n"/>
    </row>
    <row r="23" ht="37.3" customHeight="1">
      <c r="A23" s="5" t="n">
        <v>19</v>
      </c>
      <c r="B23" s="5" t="inlineStr">
        <is>
          <t>Portfolio Health</t>
        </is>
      </c>
      <c r="C23" s="4" t="inlineStr">
        <is>
          <t>Action-to-impact tracking</t>
        </is>
      </c>
      <c r="D23" s="5" t="inlineStr">
        <is>
          <t>Review, Approve Investment, Authorize Strategy, Schedule Meeting and Remind Later actions are visible.</t>
        </is>
      </c>
      <c r="E23" s="5" t="inlineStr">
        <is>
          <t>Actions are present, but closed-loop measurement of approved decisions is not visible.</t>
        </is>
      </c>
      <c r="F23" s="5" t="inlineStr">
        <is>
          <t>Track approved action → owner → due date → expected impact → actual impact → variance → corrective action.</t>
        </is>
      </c>
      <c r="G23" s="5" t="inlineStr">
        <is>
          <t>Did the decision deliver the expected value?</t>
        </is>
      </c>
      <c r="H23" s="5" t="inlineStr">
        <is>
          <t>Validate action tracking and benefit-realization process.</t>
        </is>
      </c>
      <c r="I23" s="5" t="inlineStr">
        <is>
          <t>Potential Gap – Validate</t>
        </is>
      </c>
      <c r="J23" s="5" t="inlineStr">
        <is>
          <t>2.1</t>
        </is>
      </c>
      <c r="K23" s="5" t="n"/>
    </row>
    <row r="24" ht="37.3" customHeight="1">
      <c r="A24" s="5" t="n">
        <v>20</v>
      </c>
      <c r="B24" s="5" t="inlineStr">
        <is>
          <t>Portfolio Health</t>
        </is>
      </c>
      <c r="C24" s="4" t="inlineStr">
        <is>
          <t>External/customer context</t>
        </is>
      </c>
      <c r="D24" s="5" t="inlineStr">
        <is>
          <t>The current screens are primarily internal performance and portfolio analytics.</t>
        </is>
      </c>
      <c r="E24" s="5" t="inlineStr">
        <is>
          <t>Portfolio decisions can be incomplete if customer needs, competitive moves and market signals are not incorporated.</t>
        </is>
      </c>
      <c r="F24" s="5" t="inlineStr">
        <is>
          <t>Connect market/VoC signals, competitor changes and customer demand signals to affected products and portfolio decisions.</t>
        </is>
      </c>
      <c r="G24" s="5" t="inlineStr">
        <is>
          <t>Should we invest, reposition or retire based on market/customer evidence?</t>
        </is>
      </c>
      <c r="H24" s="5" t="inlineStr">
        <is>
          <t>Validate external-data availability and signal governance.</t>
        </is>
      </c>
      <c r="I24" s="5" t="inlineStr">
        <is>
          <t>Strategic Enhancement</t>
        </is>
      </c>
      <c r="J24" s="5" t="inlineStr">
        <is>
          <t>3.6</t>
        </is>
      </c>
      <c r="K24" s="5" t="n"/>
    </row>
    <row r="25" ht="37.3" customHeight="1">
      <c r="A25" s="5" t="n">
        <v>21</v>
      </c>
      <c r="B25" s="5" t="inlineStr">
        <is>
          <t>Portfolio Health</t>
        </is>
      </c>
      <c r="C25" s="4" t="inlineStr">
        <is>
          <t>Continuous portfolio governance</t>
        </is>
      </c>
      <c r="D25" s="5" t="inlineStr">
        <is>
          <t>The dashboard presents a current portfolio state.</t>
        </is>
      </c>
      <c r="E25" s="5" t="inlineStr">
        <is>
          <t>A portfolio should be actively governed over time rather than reviewed only as a static dashboard.</t>
        </is>
      </c>
      <c r="F25" s="5" t="inlineStr">
        <is>
          <t>Add recurring portfolio review cadence, decision history, threshold changes, realized benefits and portfolio drift monitoring.</t>
        </is>
      </c>
      <c r="G25" s="5" t="inlineStr">
        <is>
          <t>Is portfolio health improving and are decisions preventing complexity from returning?</t>
        </is>
      </c>
      <c r="H25" s="5" t="inlineStr">
        <is>
          <t>Validate governance cadence and review ownership.</t>
        </is>
      </c>
      <c r="I25" s="5" t="inlineStr">
        <is>
          <t>Potential Gap – Validate</t>
        </is>
      </c>
      <c r="J25" s="5" t="inlineStr">
        <is>
          <t>4.8</t>
        </is>
      </c>
      <c r="K25" s="5" t="n"/>
    </row>
    <row r="26" ht="62.15" customHeight="1">
      <c r="A26" s="5" t="n">
        <v>22</v>
      </c>
      <c r="B26" s="5" t="inlineStr">
        <is>
          <t>Launch Readiness</t>
        </is>
      </c>
      <c r="C26" s="4" t="inlineStr">
        <is>
          <t>New SKU Brief</t>
        </is>
      </c>
      <c r="D26" s="5" t="inlineStr">
        <is>
          <t>Captures SKU name, category, projected revenue, gross margin, lead time, promotion budget, supplier count, distribution channels, current stage, budget and spend. Current: Basic launch inputs are captured for readiness evaluation.</t>
        </is>
      </c>
      <c r="E26" s="5" t="inlineStr">
        <is>
          <t>Validating whether all business-critical launch factors are represented.</t>
        </is>
      </c>
      <c r="F26" s="5" t="inlineStr">
        <is>
          <t>Validate and enrich inputs with relevant demand forecast, supply capacity, quality/regulatory readiness, inventory availability and customer/channel commitments, based on business requirements.</t>
        </is>
      </c>
      <c r="G26" s="5" t="inlineStr">
        <is>
          <t>More comprehensive launch-readiness assessment.</t>
        </is>
      </c>
      <c r="H26" s="5" t="inlineStr">
        <is>
          <t>Validate required launch inputs with business/product team.</t>
        </is>
      </c>
      <c r="I26" s="5" t="inlineStr">
        <is>
          <t>Open</t>
        </is>
      </c>
      <c r="J26" s="5" t="inlineStr">
        <is>
          <t>3.3</t>
        </is>
      </c>
      <c r="K26" s="5" t="n"/>
    </row>
    <row r="27" ht="37.3" customHeight="1">
      <c r="A27" s="5" t="n">
        <v>23</v>
      </c>
      <c r="B27" s="5" t="inlineStr">
        <is>
          <t>Launch Readiness</t>
        </is>
      </c>
      <c r="C27" s="4" t="inlineStr">
        <is>
          <t>Readiness Scoring</t>
        </is>
      </c>
      <c r="D27" s="5" t="inlineStr">
        <is>
          <t>Overall Launch Readiness score is calculated for the SKU. Current: A single readiness percentage is presented.</t>
        </is>
      </c>
      <c r="E27" s="5" t="inlineStr">
        <is>
          <t>The score does not immediately explain why the SKU received the score or which factors drive it.</t>
        </is>
      </c>
      <c r="F27" s="5" t="inlineStr">
        <is>
          <t>Provide dimension-level scores, weights, thresholds and key drivers behind the overall score.</t>
        </is>
      </c>
      <c r="G27" s="5" t="inlineStr">
        <is>
          <t>Improves transparency and supports corrective action.</t>
        </is>
      </c>
      <c r="H27" s="5" t="inlineStr">
        <is>
          <t>Validate scoring methodology, weights and thresholds.</t>
        </is>
      </c>
      <c r="I27" s="5" t="inlineStr">
        <is>
          <t>Open</t>
        </is>
      </c>
      <c r="J27" s="5" t="inlineStr">
        <is>
          <t>3.3</t>
        </is>
      </c>
      <c r="K27" s="5" t="n"/>
    </row>
    <row r="28" ht="49.7" customHeight="1">
      <c r="A28" s="5" t="n">
        <v>24</v>
      </c>
      <c r="B28" s="5" t="inlineStr">
        <is>
          <t>Launch Readiness</t>
        </is>
      </c>
      <c r="C28" s="4" t="inlineStr">
        <is>
          <t>Readiness Radar</t>
        </is>
      </c>
      <c r="D28" s="5" t="inlineStr">
        <is>
          <t>SKU is compared with category benchmark across Market Fit, Supply Readiness, Margin Health, Channel Coverage and Risk Profile. Current: Radar comparison shows SKU versus benchmark.</t>
        </is>
      </c>
      <c r="E28" s="5" t="inlineStr">
        <is>
          <t>Benchmark gaps do not clearly translate into specific actions.</t>
        </is>
      </c>
      <c r="F28" s="5" t="inlineStr">
        <is>
          <t>Add Benchmark Gap → Root Cause → Recommended Action logic.</t>
        </is>
      </c>
      <c r="G28" s="5" t="inlineStr">
        <is>
          <t>Converts benchmarking into actionable insight.</t>
        </is>
      </c>
      <c r="H28" s="5" t="inlineStr">
        <is>
          <t>Validate benchmark definitions and action rules.</t>
        </is>
      </c>
      <c r="I28" s="5" t="inlineStr">
        <is>
          <t>Open</t>
        </is>
      </c>
      <c r="J28" s="5" t="inlineStr">
        <is>
          <t>3.3</t>
        </is>
      </c>
      <c r="K28" s="5" t="n"/>
    </row>
    <row r="29" ht="37.3" customHeight="1">
      <c r="A29" s="5" t="n">
        <v>25</v>
      </c>
      <c r="B29" s="5" t="inlineStr">
        <is>
          <t>Launch Readiness</t>
        </is>
      </c>
      <c r="C29" s="4" t="inlineStr">
        <is>
          <t>Risk Profile Analysis</t>
        </is>
      </c>
      <c r="D29" s="5" t="inlineStr">
        <is>
          <t>Key risk drivers such as lead time and promotion budget pressure are displayed. Current: Risk drivers are identified in the analysis section.</t>
        </is>
      </c>
      <c r="E29" s="5" t="inlineStr">
        <is>
          <t>Relationship between each risk driver and business/financial impact is not sufficiently visible.</t>
        </is>
      </c>
      <c r="F29" s="5" t="inlineStr">
        <is>
          <t>Link risk drivers to revenue at risk, margin impact, launch delay or additional cost.</t>
        </is>
      </c>
      <c r="G29" s="5" t="inlineStr">
        <is>
          <t>Helps decision-makers understand the consequence of each risk.</t>
        </is>
      </c>
      <c r="H29" s="5" t="inlineStr">
        <is>
          <t>Validate risk-to-impact calculation rules.</t>
        </is>
      </c>
      <c r="I29" s="5" t="inlineStr">
        <is>
          <t>Open</t>
        </is>
      </c>
      <c r="J29" s="5" t="inlineStr">
        <is>
          <t>3.3</t>
        </is>
      </c>
      <c r="K29" s="5" t="n"/>
    </row>
    <row r="30" ht="37.3" customHeight="1">
      <c r="A30" s="5" t="n">
        <v>26</v>
      </c>
      <c r="B30" s="5" t="inlineStr">
        <is>
          <t>Launch Readiness</t>
        </is>
      </c>
      <c r="C30" s="4" t="inlineStr">
        <is>
          <t>Revenue at Risk</t>
        </is>
      </c>
      <c r="D30" s="5" t="inlineStr">
        <is>
          <t>Revenue at Risk Exposure is displayed as a financial risk metric. Current: The screen provides a revenue-at-risk value.</t>
        </is>
      </c>
      <c r="E30" s="5" t="inlineStr">
        <is>
          <t>Need to validate how the value is calculated and how it reconciles with identified risk drivers.</t>
        </is>
      </c>
      <c r="F30" s="5" t="inlineStr">
        <is>
          <t>Show calculation logic/driver explanation and contribution of each risk to total exposure.</t>
        </is>
      </c>
      <c r="G30" s="5" t="inlineStr">
        <is>
          <t>Builds confidence in the risk assessment.</t>
        </is>
      </c>
      <c r="H30" s="5" t="inlineStr">
        <is>
          <t>Validate Revenue at Risk formula and source data.</t>
        </is>
      </c>
      <c r="I30" s="5" t="inlineStr">
        <is>
          <t>Open</t>
        </is>
      </c>
      <c r="J30" s="5" t="inlineStr">
        <is>
          <t>2.3</t>
        </is>
      </c>
      <c r="K30" s="5" t="n"/>
    </row>
    <row r="31" ht="49.7" customHeight="1">
      <c r="A31" s="5" t="n">
        <v>27</v>
      </c>
      <c r="B31" s="5" t="inlineStr">
        <is>
          <t>Launch Readiness</t>
        </is>
      </c>
      <c r="C31" s="4" t="inlineStr">
        <is>
          <t>Risk Mitigation &amp; Cost Simulator</t>
        </is>
      </c>
      <c r="D31" s="5" t="inlineStr">
        <is>
          <t>A SKU Risk Mitigation &amp; Cost Simulator provides baseline versus simulated views. Current: Simulation capability is already present.</t>
        </is>
      </c>
      <c r="E31" s="5" t="inlineStr">
        <is>
          <t>Need to validate what mitigation actions can actually be selected and how their impact is calculated.</t>
        </is>
      </c>
      <c r="F31" s="5" t="inlineStr">
        <is>
          <t>Introduce explicit mitigation actions such as alternate supplier, expedited logistics, additional inventory, marketing adjustment or launch-date change, where applicable.</t>
        </is>
      </c>
      <c r="G31" s="5" t="inlineStr">
        <is>
          <t>Enables evaluation of corrective actions before committing resources.</t>
        </is>
      </c>
      <c r="H31" s="5" t="inlineStr">
        <is>
          <t>Understand current simulator rules and supported actions.</t>
        </is>
      </c>
      <c r="I31" s="5" t="inlineStr">
        <is>
          <t>Open</t>
        </is>
      </c>
      <c r="J31" s="5" t="inlineStr">
        <is>
          <t>3.3</t>
        </is>
      </c>
      <c r="K31" s="5" t="n"/>
    </row>
    <row r="32" ht="37.3" customHeight="1">
      <c r="A32" s="5" t="n">
        <v>28</v>
      </c>
      <c r="B32" s="5" t="inlineStr">
        <is>
          <t>Launch Readiness</t>
        </is>
      </c>
      <c r="C32" s="4" t="inlineStr">
        <is>
          <t>Baseline vs Simulated</t>
        </is>
      </c>
      <c r="D32" s="5" t="inlineStr">
        <is>
          <t>Baseline and simulated states are compared in the simulator. Current: Spend/risk comparison is shown.</t>
        </is>
      </c>
      <c r="E32" s="5" t="inlineStr">
        <is>
          <t>The simulation may not expose the complete business trade-off across operational and financial KPIs.</t>
        </is>
      </c>
      <c r="F32" s="5" t="inlineStr">
        <is>
          <t>Compare Readiness, Revenue at Risk, Revenue, Margin, Cost, Inventory, Launch Date and Risk Level before versus after simulation.</t>
        </is>
      </c>
      <c r="G32" s="5" t="inlineStr">
        <is>
          <t>Provides a complete scenario impact view.</t>
        </is>
      </c>
      <c r="H32" s="5" t="inlineStr">
        <is>
          <t>Validate required scenario output KPIs.</t>
        </is>
      </c>
      <c r="I32" s="5" t="inlineStr">
        <is>
          <t>Open</t>
        </is>
      </c>
      <c r="J32" s="5" t="inlineStr">
        <is>
          <t>3.3</t>
        </is>
      </c>
      <c r="K32" s="5" t="n"/>
    </row>
    <row r="33" ht="24.85" customHeight="1">
      <c r="A33" s="5" t="n">
        <v>29</v>
      </c>
      <c r="B33" s="5" t="inlineStr">
        <is>
          <t>Launch Readiness</t>
        </is>
      </c>
      <c r="C33" s="4" t="inlineStr">
        <is>
          <t>Scenario Comparison</t>
        </is>
      </c>
      <c r="D33" s="5" t="inlineStr">
        <is>
          <t>Mitigation simulation is available. Current: A simulated state can be reviewed against baseline.</t>
        </is>
      </c>
      <c r="E33" s="5" t="inlineStr">
        <is>
          <t>Need to validate whether multiple mitigation strategies can be compared side-by-side.</t>
        </is>
      </c>
      <c r="F33" s="5" t="inlineStr">
        <is>
          <t>Introduce Scenario A/B/C comparison and allow users to identify the preferred scenario.</t>
        </is>
      </c>
      <c r="G33" s="5" t="inlineStr">
        <is>
          <t>Supports structured trade-off decisions.</t>
        </is>
      </c>
      <c r="H33" s="5" t="inlineStr">
        <is>
          <t>Validate business need for multi-scenario comparison.</t>
        </is>
      </c>
      <c r="I33" s="5" t="inlineStr">
        <is>
          <t>Open</t>
        </is>
      </c>
      <c r="J33" s="5" t="inlineStr">
        <is>
          <t>3.3</t>
        </is>
      </c>
      <c r="K33" s="5" t="n"/>
    </row>
    <row r="34" ht="49.7" customHeight="1">
      <c r="A34" s="5" t="n">
        <v>30</v>
      </c>
      <c r="B34" s="5" t="inlineStr">
        <is>
          <t>Launch Readiness</t>
        </is>
      </c>
      <c r="C34" s="4" t="inlineStr">
        <is>
          <t>Launch Milestones</t>
        </is>
      </c>
      <c r="D34" s="5" t="inlineStr">
        <is>
          <t>Supplier Onboarding, Channel Agreements, Production Trials, Distribution Setup, Marketing Campaign and Launch Go-Live are tracked. Current: Milestone completion percentage and status are visible.</t>
        </is>
      </c>
      <c r="E34" s="5" t="inlineStr">
        <is>
          <t>Progress does not clearly indicate whether an incomplete milestone will impact the launch date.</t>
        </is>
      </c>
      <c r="F34" s="5" t="inlineStr">
        <is>
          <t>Introduce milestone dependencies, critical path and expected launch-date impact.</t>
        </is>
      </c>
      <c r="G34" s="5" t="inlineStr">
        <is>
          <t>Identifies activities that can genuinely delay launch.</t>
        </is>
      </c>
      <c r="H34" s="5" t="inlineStr">
        <is>
          <t>Validate milestone dependencies and sequencing.</t>
        </is>
      </c>
      <c r="I34" s="5" t="inlineStr">
        <is>
          <t>Open</t>
        </is>
      </c>
      <c r="J34" s="5" t="inlineStr">
        <is>
          <t>3.3</t>
        </is>
      </c>
      <c r="K34" s="5" t="n"/>
    </row>
    <row r="35" ht="37.3" customHeight="1">
      <c r="A35" s="5" t="n">
        <v>31</v>
      </c>
      <c r="B35" s="5" t="inlineStr">
        <is>
          <t>Launch Readiness</t>
        </is>
      </c>
      <c r="C35" s="4" t="inlineStr">
        <is>
          <t>Milestone Tracking</t>
        </is>
      </c>
      <c r="D35" s="5" t="inlineStr">
        <is>
          <t>Milestones show statuses such as Completed/In Progress and completion percentage. Current: Progress is visually tracked.</t>
        </is>
      </c>
      <c r="E35" s="5" t="inlineStr">
        <is>
          <t>A 50% or 85% completion value does not itself indicate launch risk.</t>
        </is>
      </c>
      <c r="F35" s="5" t="inlineStr">
        <is>
          <t>Add planned date, expected/actual date, dependency, owner, delay and impact on Go-Live.</t>
        </is>
      </c>
      <c r="G35" s="5" t="inlineStr">
        <is>
          <t>Converts progress tracking into launch-risk management.</t>
        </is>
      </c>
      <c r="H35" s="5" t="inlineStr">
        <is>
          <t>Validate milestone dates, ownership and dependency data.</t>
        </is>
      </c>
      <c r="I35" s="5" t="inlineStr">
        <is>
          <t>Open</t>
        </is>
      </c>
      <c r="J35" s="5" t="inlineStr">
        <is>
          <t>3.3</t>
        </is>
      </c>
      <c r="K35" s="5" t="n"/>
    </row>
    <row r="36" ht="37.3" customHeight="1">
      <c r="A36" s="5" t="n">
        <v>32</v>
      </c>
      <c r="B36" s="5" t="inlineStr">
        <is>
          <t>Launch Readiness</t>
        </is>
      </c>
      <c r="C36" s="4" t="inlineStr">
        <is>
          <t>Launch Decision</t>
        </is>
      </c>
      <c r="D36" s="5" t="inlineStr">
        <is>
          <t>Overall Launch Readiness is represented as a percentage. Current: The user receives a readiness score such as 79%.</t>
        </is>
      </c>
      <c r="E36" s="5" t="inlineStr">
        <is>
          <t>A percentage alone does not directly answer whether the SKU should launch.</t>
        </is>
      </c>
      <c r="F36" s="5" t="inlineStr">
        <is>
          <t>Introduce GO / CONDITIONAL GO / NO-GO with conditions that must be resolved.</t>
        </is>
      </c>
      <c r="G36" s="5" t="inlineStr">
        <is>
          <t>Creates a clear executive decision mechanism.</t>
        </is>
      </c>
      <c r="H36" s="5" t="inlineStr">
        <is>
          <t>Validate decision gates and minimum readiness criteria.</t>
        </is>
      </c>
      <c r="I36" s="5" t="inlineStr">
        <is>
          <t>Open</t>
        </is>
      </c>
      <c r="J36" s="5" t="inlineStr">
        <is>
          <t>2.5</t>
        </is>
      </c>
      <c r="K36" s="5" t="inlineStr">
        <is>
          <t>Needs one decision vocabulary first (Q13).</t>
        </is>
      </c>
    </row>
    <row r="37" ht="24.85" customHeight="1">
      <c r="A37" s="5" t="n">
        <v>33</v>
      </c>
      <c r="B37" s="5" t="inlineStr">
        <is>
          <t>Launch Readiness</t>
        </is>
      </c>
      <c r="C37" s="4" t="inlineStr">
        <is>
          <t>Cost &amp; Risk Impact</t>
        </is>
      </c>
      <c r="D37" s="5" t="inlineStr">
        <is>
          <t>Project Budget, Spent Cost and Spent-to-Budget Ratio are displayed. Current: Cost consumption is visible.</t>
        </is>
      </c>
      <c r="E37" s="5" t="inlineStr">
        <is>
          <t>Relationship between additional mitigation cost and risk reduction is not fully evident.</t>
        </is>
      </c>
      <c r="F37" s="5" t="inlineStr">
        <is>
          <t>Show Incremental Mitigation Cost vs Risk Reduction vs Financial Exposure Avoided.</t>
        </is>
      </c>
      <c r="G37" s="5" t="inlineStr">
        <is>
          <t>Supports cost-benefit justification for mitigation spending.</t>
        </is>
      </c>
      <c r="H37" s="5" t="inlineStr">
        <is>
          <t>Validate financial impact and mitigation cost model.</t>
        </is>
      </c>
      <c r="I37" s="5" t="inlineStr">
        <is>
          <t>Open</t>
        </is>
      </c>
      <c r="J37" s="5" t="inlineStr">
        <is>
          <t>3.3</t>
        </is>
      </c>
      <c r="K37" s="5" t="n"/>
    </row>
    <row r="38" ht="37.3" customHeight="1">
      <c r="A38" s="5" t="n">
        <v>34</v>
      </c>
      <c r="B38" s="5" t="inlineStr">
        <is>
          <t>Launch Readiness</t>
        </is>
      </c>
      <c r="C38" s="4" t="inlineStr">
        <is>
          <t>AI Forecast / Recommendation</t>
        </is>
      </c>
      <c r="D38" s="5" t="inlineStr">
        <is>
          <t>AI Forecast section provides a message regarding sourcing and logistics risk. Current: AI-generated insight/recommendation is displayed.</t>
        </is>
      </c>
      <c r="E38" s="5" t="inlineStr">
        <is>
          <t>Recommendation needs stronger explainability regarding why it was generated and what evidence supports it.</t>
        </is>
      </c>
      <c r="F38" s="5" t="inlineStr">
        <is>
          <t>Show Recommendation → Reason → Supporting Metrics → Expected Impact → Confidence → Suggested Action.</t>
        </is>
      </c>
      <c r="G38" s="5" t="inlineStr">
        <is>
          <t>Improves trust and usability of AI recommendations.</t>
        </is>
      </c>
      <c r="H38" s="5" t="inlineStr">
        <is>
          <t>Validate AI methodology and explainability requirements.</t>
        </is>
      </c>
      <c r="I38" s="5" t="inlineStr">
        <is>
          <t>Open</t>
        </is>
      </c>
      <c r="J38" s="5" t="inlineStr">
        <is>
          <t>4.2</t>
        </is>
      </c>
      <c r="K38" s="5" t="inlineStr">
        <is>
          <t>The recommendation text is authored; no model is called today (H11).</t>
        </is>
      </c>
    </row>
    <row r="39" ht="37.3" customHeight="1">
      <c r="A39" s="5" t="n">
        <v>35</v>
      </c>
      <c r="B39" s="5" t="inlineStr">
        <is>
          <t>Launch Readiness</t>
        </is>
      </c>
      <c r="C39" s="4" t="inlineStr">
        <is>
          <t>Category Benchmark</t>
        </is>
      </c>
      <c r="D39" s="5" t="inlineStr">
        <is>
          <t>SKU performance is compared against category benchmark averages. Current: Benchmark provides a reference point.</t>
        </is>
      </c>
      <c r="E39" s="5" t="inlineStr">
        <is>
          <t>Benchmark gap may not distinguish acceptable from unacceptable performance.</t>
        </is>
      </c>
      <c r="F39" s="5" t="inlineStr">
        <is>
          <t>Introduce configurable Green / Amber / Red thresholds and business-specific benchmark rules.</t>
        </is>
      </c>
      <c r="G39" s="5" t="inlineStr">
        <is>
          <t>Enables faster identification of launch blockers.</t>
        </is>
      </c>
      <c r="H39" s="5" t="inlineStr">
        <is>
          <t>Validate benchmark thresholds with business.</t>
        </is>
      </c>
      <c r="I39" s="5" t="inlineStr">
        <is>
          <t>Open</t>
        </is>
      </c>
      <c r="J39" s="5" t="inlineStr">
        <is>
          <t>2.5</t>
        </is>
      </c>
      <c r="K39" s="5" t="n"/>
    </row>
    <row r="40" ht="37.3" customHeight="1">
      <c r="A40" s="5" t="n">
        <v>36</v>
      </c>
      <c r="B40" s="5" t="inlineStr">
        <is>
          <t>Launch Readiness</t>
        </is>
      </c>
      <c r="C40" s="4" t="inlineStr">
        <is>
          <t>Launch Lifecycle</t>
        </is>
      </c>
      <c r="D40" s="5" t="inlineStr">
        <is>
          <t>Launch milestones are tracked through Go-Live. Current: The visible process focuses on readiness and launch execution.</t>
        </is>
      </c>
      <c r="E40" s="5" t="inlineStr">
        <is>
          <t>Post-launch performance feedback is not visible in the current solution.</t>
        </is>
      </c>
      <c r="F40" s="5" t="inlineStr">
        <is>
          <t>Connect launch readiness with post-launch actuals such as sales, margin, forecast accuracy, service level and launch performance.</t>
        </is>
      </c>
      <c r="G40" s="5" t="inlineStr">
        <is>
          <t>Creates a closed-loop learning process for future launches.</t>
        </is>
      </c>
      <c r="H40" s="5" t="inlineStr">
        <is>
          <t>Validate post-launch data availability and ownership.</t>
        </is>
      </c>
      <c r="I40" s="5" t="inlineStr">
        <is>
          <t>Open</t>
        </is>
      </c>
      <c r="J40" s="5" t="inlineStr">
        <is>
          <t>3.3</t>
        </is>
      </c>
      <c r="K40" s="5" t="inlineStr">
        <is>
          <t>Needs launch dates — 0 of 119 SKUs have one (Q3).</t>
        </is>
      </c>
    </row>
    <row r="41" ht="37.3" customHeight="1">
      <c r="A41" s="5" t="n">
        <v>37</v>
      </c>
      <c r="B41" s="5" t="inlineStr">
        <is>
          <t>Cross-module</t>
        </is>
      </c>
      <c r="C41" s="4" t="inlineStr">
        <is>
          <t>Cross-module investigation</t>
        </is>
      </c>
      <c r="D41" s="5" t="inlineStr">
        <is>
          <t>Information exists across capabilities.</t>
        </is>
      </c>
      <c r="E41" s="5" t="inlineStr">
        <is>
          <t>Insight → Diagnosis may require manual correlation.</t>
        </is>
      </c>
      <c r="F41" s="5" t="n"/>
      <c r="G41" s="5" t="n"/>
      <c r="H41" s="5" t="inlineStr">
        <is>
          <t>Can users move seamlessly across Health, Profitability, Signals and Rationalization?</t>
        </is>
      </c>
      <c r="I41" s="5" t="inlineStr">
        <is>
          <t>To validate</t>
        </is>
      </c>
      <c r="J41" s="5" t="inlineStr">
        <is>
          <t>3.7</t>
        </is>
      </c>
      <c r="K41" s="5" t="n"/>
    </row>
    <row r="42" ht="24.85" customHeight="1">
      <c r="A42" s="5" t="n">
        <v>38</v>
      </c>
      <c r="B42" s="5" t="inlineStr">
        <is>
          <t>Cross-module</t>
        </is>
      </c>
      <c r="C42" s="4" t="inlineStr">
        <is>
          <t>Actionability</t>
        </is>
      </c>
      <c r="D42" s="5" t="inlineStr">
        <is>
          <t>The user may see what is happening but still need to determine what to do.</t>
        </is>
      </c>
      <c r="E42" s="5" t="inlineStr">
        <is>
          <t>Insight → Recommendation → Action.</t>
        </is>
      </c>
      <c r="F42" s="5" t="n"/>
      <c r="G42" s="5" t="n"/>
      <c r="H42" s="5" t="inlineStr">
        <is>
          <t>Does the solution clearly guide the next business action?</t>
        </is>
      </c>
      <c r="I42" s="5" t="inlineStr">
        <is>
          <t>To validate</t>
        </is>
      </c>
      <c r="J42" s="5" t="inlineStr">
        <is>
          <t>2.1</t>
        </is>
      </c>
      <c r="K42" s="5" t="n"/>
    </row>
    <row r="43" ht="37.3" customHeight="1">
      <c r="A43" s="5" t="n">
        <v>39</v>
      </c>
      <c r="B43" s="5" t="inlineStr">
        <is>
          <t>Cross-module</t>
        </is>
      </c>
      <c r="C43" s="4" t="inlineStr">
        <is>
          <t>Explainability</t>
        </is>
      </c>
      <c r="D43" s="5" t="inlineStr">
        <is>
          <t>Scores/recommendations may need clearer drivers and evidence.</t>
        </is>
      </c>
      <c r="E43" s="5" t="inlineStr">
        <is>
          <t>Score → Drivers → Root Cause → Action.</t>
        </is>
      </c>
      <c r="F43" s="5" t="n"/>
      <c r="G43" s="5" t="n"/>
      <c r="H43" s="5" t="inlineStr">
        <is>
          <t>Can users understand why the score/recommendation was generated?</t>
        </is>
      </c>
      <c r="I43" s="5" t="inlineStr">
        <is>
          <t>To validate</t>
        </is>
      </c>
      <c r="J43" s="5" t="inlineStr">
        <is>
          <t>2.1</t>
        </is>
      </c>
      <c r="K43" s="5" t="n"/>
    </row>
    <row r="44" ht="24.85" customHeight="1">
      <c r="A44" s="5" t="n">
        <v>40</v>
      </c>
      <c r="B44" s="5" t="inlineStr">
        <is>
          <t>Cross-module</t>
        </is>
      </c>
      <c r="C44" s="4" t="inlineStr">
        <is>
          <t>Strategic SKU context</t>
        </is>
      </c>
      <c r="D44" s="5" t="inlineStr">
        <is>
          <t>Financial performance alone may not capture customer/channel/market importance.</t>
        </is>
      </c>
      <c r="E44" s="5" t="inlineStr">
        <is>
          <t>Performance → Strategic Context → Decision.</t>
        </is>
      </c>
      <c r="F44" s="5" t="n"/>
      <c r="G44" s="5" t="n"/>
      <c r="H44" s="5" t="inlineStr">
        <is>
          <t>What exceptions are considered before rationalization?</t>
        </is>
      </c>
      <c r="I44" s="5" t="inlineStr">
        <is>
          <t>To validate</t>
        </is>
      </c>
      <c r="J44" s="5" t="inlineStr">
        <is>
          <t>2.5</t>
        </is>
      </c>
      <c r="K44" s="5" t="n"/>
    </row>
    <row r="45" ht="24.85" customHeight="1">
      <c r="A45" s="5" t="n">
        <v>41</v>
      </c>
      <c r="B45" s="5" t="inlineStr">
        <is>
          <t>Cross-module</t>
        </is>
      </c>
      <c r="C45" s="4" t="inlineStr">
        <is>
          <t>Signal-to-action</t>
        </is>
      </c>
      <c r="D45" s="5" t="inlineStr">
        <is>
          <t>Signals may require additional investigation to assess impact.</t>
        </is>
      </c>
      <c r="E45" s="5" t="inlineStr">
        <is>
          <t>Signal → Impact → Decision → Action.</t>
        </is>
      </c>
      <c r="F45" s="5" t="n"/>
      <c r="G45" s="5" t="n"/>
      <c r="H45" s="5" t="inlineStr">
        <is>
          <t>What happens after a signal is identified?</t>
        </is>
      </c>
      <c r="I45" s="5" t="inlineStr">
        <is>
          <t>To validate</t>
        </is>
      </c>
      <c r="J45" s="5" t="inlineStr">
        <is>
          <t>3.6</t>
        </is>
      </c>
      <c r="K45" s="5" t="n"/>
    </row>
    <row r="46" ht="24.85" customHeight="1">
      <c r="A46" s="5" t="n">
        <v>42</v>
      </c>
      <c r="B46" s="5" t="inlineStr">
        <is>
          <t>Cross-module</t>
        </is>
      </c>
      <c r="C46" s="4" t="inlineStr">
        <is>
          <t>Launch decision</t>
        </is>
      </c>
      <c r="D46" s="5" t="inlineStr">
        <is>
          <t>Readiness dimensions exist; final decision criteria need validation.</t>
        </is>
      </c>
      <c r="E46" s="5" t="inlineStr">
        <is>
          <t>Assessment → GO / Conditional GO / NO-GO.</t>
        </is>
      </c>
      <c r="F46" s="5" t="n"/>
      <c r="G46" s="5" t="n"/>
      <c r="H46" s="5" t="inlineStr">
        <is>
          <t>Does readiness clearly support the launch decision?</t>
        </is>
      </c>
      <c r="I46" s="5" t="inlineStr">
        <is>
          <t>To validate</t>
        </is>
      </c>
      <c r="J46" s="5" t="inlineStr">
        <is>
          <t>2.5</t>
        </is>
      </c>
      <c r="K46" s="5" t="n"/>
    </row>
    <row r="47" ht="24.85" customHeight="1">
      <c r="A47" s="5" t="n">
        <v>43</v>
      </c>
      <c r="B47" s="5" t="inlineStr">
        <is>
          <t>Cross-module</t>
        </is>
      </c>
      <c r="C47" s="4" t="inlineStr">
        <is>
          <t>Decision-to-impact</t>
        </is>
      </c>
      <c r="D47" s="5" t="inlineStr">
        <is>
          <t>Post-approval ownership and benefits need validation.</t>
        </is>
      </c>
      <c r="E47" s="5" t="inlineStr">
        <is>
          <t>Decision → Action → Outcome → Benefit.</t>
        </is>
      </c>
      <c r="F47" s="5" t="n"/>
      <c r="G47" s="5" t="n"/>
      <c r="H47" s="5" t="inlineStr">
        <is>
          <t>Can expected vs actual impact be measured?</t>
        </is>
      </c>
      <c r="I47" s="5" t="inlineStr">
        <is>
          <t>To validate</t>
        </is>
      </c>
      <c r="J47" s="5" t="inlineStr">
        <is>
          <t>2.1</t>
        </is>
      </c>
      <c r="K47" s="5" t="n"/>
    </row>
    <row r="48" ht="24.85" customHeight="1">
      <c r="A48" s="5" t="n">
        <v>44</v>
      </c>
      <c r="B48" s="5" t="inlineStr">
        <is>
          <t>Cross-module</t>
        </is>
      </c>
      <c r="C48" s="4" t="inlineStr">
        <is>
          <t>Metric lineage</t>
        </is>
      </c>
      <c r="D48" s="5" t="inlineStr">
        <is>
          <t>Important metrics may require clearer definitions and traceability.</t>
        </is>
      </c>
      <c r="E48" s="5" t="inlineStr">
        <is>
          <t>Source → Calculation → Metric → Decision.</t>
        </is>
      </c>
      <c r="F48" s="5" t="n"/>
      <c r="G48" s="5" t="n"/>
      <c r="H48" s="5" t="inlineStr">
        <is>
          <t>Can users trace key metrics to source, logic and owner?</t>
        </is>
      </c>
      <c r="I48" s="5" t="inlineStr">
        <is>
          <t>To validate</t>
        </is>
      </c>
      <c r="J48" s="5" t="inlineStr">
        <is>
          <t>3.1c</t>
        </is>
      </c>
      <c r="K48" s="5" t="inlineStr">
        <is>
          <t>Same root problem as H8 — fixed by one metric registry (3.1c, 3.8).</t>
        </is>
      </c>
    </row>
  </sheetData>
  <autoFilter ref="A4:K48"/>
  <conditionalFormatting sqref="I5:I48">
    <cfRule type="cellIs" priority="1" operator="equal" dxfId="2">
      <formula>"Critical Validation"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E75B6"/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ColWidth="9" defaultRowHeight="14.55"/>
  <cols>
    <col width="34" customWidth="1" min="1" max="1"/>
    <col width="24" customWidth="1" min="2" max="3"/>
    <col width="34" customWidth="1" min="4" max="4"/>
    <col width="40" customWidth="1" min="5" max="5"/>
    <col width="34" customWidth="1" min="6" max="6"/>
  </cols>
  <sheetData>
    <row r="1" ht="20.1" customHeight="1">
      <c r="A1" s="1" t="inlineStr">
        <is>
          <t>Personas &amp; Journey</t>
        </is>
      </c>
    </row>
    <row r="2">
      <c r="A2" s="2" t="inlineStr">
        <is>
          <t>Sections A and B are the team's work, verbatim. Section C transcribes the team's Miro decision journey; its last column is our proposal, to confirm in M3.</t>
        </is>
      </c>
    </row>
    <row r="4" ht="15.4" customHeight="1">
      <c r="A4" s="7" t="inlineStr">
        <is>
          <t>A · Who needs which capability</t>
        </is>
      </c>
    </row>
    <row r="5">
      <c r="A5" s="3" t="inlineStr">
        <is>
          <t>Capability</t>
        </is>
      </c>
      <c r="B5" s="3" t="inlineStr">
        <is>
          <t>VP Product Management</t>
        </is>
      </c>
      <c r="C5" s="3" t="inlineStr">
        <is>
          <t>Product Manager</t>
        </is>
      </c>
      <c r="D5" s="3" t="inlineStr">
        <is>
          <t>Pricing &amp; Margin Partner</t>
        </is>
      </c>
      <c r="E5" s="3" t="inlineStr">
        <is>
          <t>Primary decision</t>
        </is>
      </c>
    </row>
    <row r="6">
      <c r="A6" s="4" t="inlineStr">
        <is>
          <t>Portfolio Health</t>
        </is>
      </c>
      <c r="B6" s="5" t="inlineStr">
        <is>
          <t>Primary</t>
        </is>
      </c>
      <c r="C6" s="5" t="inlineStr">
        <is>
          <t>Secondary</t>
        </is>
      </c>
      <c r="D6" s="5" t="inlineStr">
        <is>
          <t>Secondary</t>
        </is>
      </c>
      <c r="E6" s="5" t="inlineStr">
        <is>
          <t>Where should we invest, intervene or exit?</t>
        </is>
      </c>
    </row>
    <row r="7">
      <c r="A7" s="4" t="inlineStr">
        <is>
          <t>Launch Readiness</t>
        </is>
      </c>
      <c r="B7" s="5" t="inlineStr">
        <is>
          <t>Secondary</t>
        </is>
      </c>
      <c r="C7" s="5" t="inlineStr">
        <is>
          <t>Primary</t>
        </is>
      </c>
      <c r="D7" s="5" t="inlineStr">
        <is>
          <t>Secondary</t>
        </is>
      </c>
      <c r="E7" s="5" t="inlineStr">
        <is>
          <t>Should the product launch, and what is blocking it?</t>
        </is>
      </c>
    </row>
    <row r="8" ht="24.85" customHeight="1">
      <c r="A8" s="4" t="inlineStr">
        <is>
          <t>Profitability</t>
        </is>
      </c>
      <c r="B8" s="5" t="inlineStr">
        <is>
          <t>Primary</t>
        </is>
      </c>
      <c r="C8" s="5" t="inlineStr">
        <is>
          <t>Primary</t>
        </is>
      </c>
      <c r="D8" s="5" t="inlineStr">
        <is>
          <t>Primary</t>
        </is>
      </c>
      <c r="E8" s="5" t="inlineStr">
        <is>
          <t>Where is margin leaking and how can profitability improve?</t>
        </is>
      </c>
    </row>
    <row r="9" ht="24.85" customHeight="1">
      <c r="A9" s="4" t="inlineStr">
        <is>
          <t>SKU Rationalization</t>
        </is>
      </c>
      <c r="B9" s="5" t="inlineStr">
        <is>
          <t>Secondary</t>
        </is>
      </c>
      <c r="C9" s="5" t="inlineStr">
        <is>
          <t>Primary</t>
        </is>
      </c>
      <c r="D9" s="5" t="inlineStr">
        <is>
          <t>Primary</t>
        </is>
      </c>
      <c r="E9" s="5" t="inlineStr">
        <is>
          <t>Which SKUs should be retained, optimized, repositioned or sunset?</t>
        </is>
      </c>
    </row>
    <row r="10">
      <c r="A10" s="4" t="inlineStr">
        <is>
          <t>Signals</t>
        </is>
      </c>
      <c r="B10" s="5" t="inlineStr">
        <is>
          <t>Primary</t>
        </is>
      </c>
      <c r="C10" s="5" t="inlineStr">
        <is>
          <t>Primary</t>
        </is>
      </c>
      <c r="D10" s="5" t="inlineStr">
        <is>
          <t>Secondary</t>
        </is>
      </c>
      <c r="E10" s="5" t="inlineStr">
        <is>
          <t>What changed and what requires attention?</t>
        </is>
      </c>
    </row>
    <row r="11" ht="24.85" customHeight="1">
      <c r="A11" s="4" t="inlineStr">
        <is>
          <t>Decision Intelligence &amp; Orchestration</t>
        </is>
      </c>
      <c r="B11" s="5" t="inlineStr">
        <is>
          <t>Primary</t>
        </is>
      </c>
      <c r="C11" s="5" t="inlineStr">
        <is>
          <t>Primary</t>
        </is>
      </c>
      <c r="D11" s="5" t="inlineStr">
        <is>
          <t>Primary</t>
        </is>
      </c>
      <c r="E11" s="5" t="inlineStr">
        <is>
          <t>What should we do, why, what-if, who approves, and what impact will result?</t>
        </is>
      </c>
    </row>
    <row r="14" ht="15.4" customHeight="1">
      <c r="A14" s="7" t="inlineStr">
        <is>
          <t>B · Current → future decision journey</t>
        </is>
      </c>
    </row>
    <row r="15" ht="24.85" customHeight="1">
      <c r="A15" s="3" t="inlineStr">
        <is>
          <t>Capability</t>
        </is>
      </c>
      <c r="B15" s="3" t="inlineStr">
        <is>
          <t>Current process / pain point</t>
        </is>
      </c>
      <c r="C15" s="3" t="inlineStr">
        <is>
          <t>Future capability</t>
        </is>
      </c>
      <c r="D15" s="3" t="inlineStr">
        <is>
          <t>Future decision</t>
        </is>
      </c>
      <c r="E15" s="3" t="inlineStr">
        <is>
          <t>Business outcome</t>
        </is>
      </c>
    </row>
    <row r="16" ht="24.85" customHeight="1">
      <c r="A16" s="4" t="inlineStr">
        <is>
          <t>Portfolio Health</t>
        </is>
      </c>
      <c r="B16" s="5" t="inlineStr">
        <is>
          <t>User investigates portfolio issues manually</t>
        </is>
      </c>
      <c r="C16" s="5" t="inlineStr">
        <is>
          <t>Detect + Diagnose + Correlate</t>
        </is>
      </c>
      <c r="D16" s="5" t="inlineStr">
        <is>
          <t>Recommendation</t>
        </is>
      </c>
      <c r="E16" s="5" t="inlineStr">
        <is>
          <t>Faster, evidence-based decision</t>
        </is>
      </c>
    </row>
    <row r="17" ht="37.3" customHeight="1">
      <c r="A17" s="4" t="inlineStr">
        <is>
          <t>Launch Readiness</t>
        </is>
      </c>
      <c r="B17" s="5" t="inlineStr">
        <is>
          <t>Manual comparison of readiness, risk and benchmarks</t>
        </is>
      </c>
      <c r="C17" s="5" t="inlineStr">
        <is>
          <t>What-if + AI Recommendation</t>
        </is>
      </c>
      <c r="D17" s="5" t="inlineStr">
        <is>
          <t>Approval</t>
        </is>
      </c>
      <c r="E17" s="5" t="inlineStr">
        <is>
          <t>Faster and lower-risk launch decision</t>
        </is>
      </c>
    </row>
    <row r="18" ht="24.85" customHeight="1">
      <c r="A18" s="4" t="inlineStr">
        <is>
          <t>Profitability</t>
        </is>
      </c>
      <c r="B18" s="5" t="inlineStr">
        <is>
          <t>Manual root-cause analysis across financial drivers</t>
        </is>
      </c>
      <c r="C18" s="5" t="inlineStr">
        <is>
          <t>Explainable Decision Support</t>
        </is>
      </c>
      <c r="D18" s="5" t="inlineStr">
        <is>
          <t>Corrective Action</t>
        </is>
      </c>
      <c r="E18" s="5" t="inlineStr">
        <is>
          <t>Improved margin and profitability</t>
        </is>
      </c>
    </row>
    <row r="19" ht="24.85" customHeight="1">
      <c r="A19" s="4" t="inlineStr">
        <is>
          <t>SKU Rationalization</t>
        </is>
      </c>
      <c r="B19" s="5" t="inlineStr">
        <is>
          <t>Manual business assessment of SKU performance</t>
        </is>
      </c>
      <c r="C19" s="5" t="inlineStr">
        <is>
          <t>Scenario Comparison</t>
        </is>
      </c>
      <c r="D19" s="5" t="inlineStr">
        <is>
          <t>Retain / Optimize / Reposition / Discontinue</t>
        </is>
      </c>
      <c r="E19" s="5" t="inlineStr">
        <is>
          <t>Optimized portfolio and reduced complexity</t>
        </is>
      </c>
    </row>
    <row r="20" ht="24.85" customHeight="1">
      <c r="A20" s="4" t="inlineStr">
        <is>
          <t>Signals</t>
        </is>
      </c>
      <c r="B20" s="5" t="inlineStr">
        <is>
          <t>User manually connects signals with portfolio evidence</t>
        </is>
      </c>
      <c r="C20" s="5" t="inlineStr">
        <is>
          <t>Prioritize + Orchestrate</t>
        </is>
      </c>
      <c r="D20" s="5" t="inlineStr">
        <is>
          <t>Action</t>
        </is>
      </c>
      <c r="E20" s="5" t="inlineStr">
        <is>
          <t>Faster response to market/customer changes</t>
        </is>
      </c>
    </row>
    <row r="23" ht="15.4" customHeight="1">
      <c r="A23" s="7" t="inlineStr">
        <is>
          <t>C · End-to-end decision journey (team's Miro board)</t>
        </is>
      </c>
    </row>
    <row r="24" ht="24.85" customHeight="1">
      <c r="A24" s="3" t="inlineStr">
        <is>
          <t>#</t>
        </is>
      </c>
      <c r="B24" s="3" t="inlineStr">
        <is>
          <t>Stage</t>
        </is>
      </c>
      <c r="C24" s="3" t="inlineStr">
        <is>
          <t>What happens</t>
        </is>
      </c>
      <c r="D24" s="3" t="inlineStr">
        <is>
          <t>Screens involved today</t>
        </is>
      </c>
      <c r="E24" s="3" t="inlineStr">
        <is>
          <t>Proposed home in the 5-tab target (confirm in M3)</t>
        </is>
      </c>
    </row>
    <row r="25">
      <c r="A25" s="5" t="n">
        <v>1</v>
      </c>
      <c r="B25" s="4" t="inlineStr">
        <is>
          <t>Business / portfolio need</t>
        </is>
      </c>
      <c r="C25" s="5" t="inlineStr">
        <is>
          <t>A question or trigger arrives</t>
        </is>
      </c>
      <c r="D25" s="5" t="inlineStr">
        <is>
          <t>—</t>
        </is>
      </c>
      <c r="E25" s="5" t="inlineStr">
        <is>
          <t>Outside the app</t>
        </is>
      </c>
    </row>
    <row r="26" ht="24.85" customHeight="1">
      <c r="A26" s="5" t="n">
        <v>2</v>
      </c>
      <c r="B26" s="4" t="inlineStr">
        <is>
          <t>Business inputs</t>
        </is>
      </c>
      <c r="C26" s="5" t="inlineStr">
        <is>
          <t>Data is consolidated into the solution</t>
        </is>
      </c>
      <c r="D26" s="5" t="inlineStr">
        <is>
          <t>—</t>
        </is>
      </c>
      <c r="E26" s="5" t="inlineStr">
        <is>
          <t>Data layer (warehouse + API)</t>
        </is>
      </c>
    </row>
    <row r="27" ht="24.85" customHeight="1">
      <c r="A27" s="5" t="n">
        <v>3</v>
      </c>
      <c r="B27" s="4" t="inlineStr">
        <is>
          <t>Home</t>
        </is>
      </c>
      <c r="C27" s="5" t="inlineStr">
        <is>
          <t>The user opens the solution</t>
        </is>
      </c>
      <c r="D27" s="5" t="inlineStr">
        <is>
          <t>Home</t>
        </is>
      </c>
      <c r="E27" s="5" t="inlineStr">
        <is>
          <t>Landing summary inside Portfolio Health (Report 2)</t>
        </is>
      </c>
    </row>
    <row r="28" ht="24.85" customHeight="1">
      <c r="A28" s="5" t="n">
        <v>4</v>
      </c>
      <c r="B28" s="4" t="inlineStr">
        <is>
          <t>User investigates</t>
        </is>
      </c>
      <c r="C28" s="5" t="inlineStr">
        <is>
          <t>Three detection paths</t>
        </is>
      </c>
      <c r="D28" s="5" t="inlineStr">
        <is>
          <t>Portfolio Health · Profitability · Signals Board</t>
        </is>
      </c>
      <c r="E28" s="5" t="inlineStr">
        <is>
          <t>Tabs: Portfolio Health, Profitability Tree, Market &amp; VoC Signals</t>
        </is>
      </c>
    </row>
    <row r="29" ht="24.85" customHeight="1">
      <c r="A29" s="5" t="n">
        <v>5</v>
      </c>
      <c r="B29" s="4" t="inlineStr">
        <is>
          <t>Identify problem</t>
        </is>
      </c>
      <c r="C29" s="5" t="inlineStr">
        <is>
          <t>Decision point: is there a problem?</t>
        </is>
      </c>
      <c r="D29" s="5" t="inlineStr">
        <is>
          <t>Alerts on several screens</t>
        </is>
      </c>
      <c r="E29" s="5" t="inlineStr">
        <is>
          <t>Exceptions and alerts within each tab</t>
        </is>
      </c>
    </row>
    <row r="30">
      <c r="A30" s="5" t="n">
        <v>6</v>
      </c>
      <c r="B30" s="4" t="inlineStr">
        <is>
          <t>Top-Down Drill</t>
        </is>
      </c>
      <c r="C30" s="5" t="inlineStr">
        <is>
          <t>Drill into the cause</t>
        </is>
      </c>
      <c r="D30" s="5" t="inlineStr">
        <is>
          <t>Top-Down Drill</t>
        </is>
      </c>
      <c r="E30" s="5" t="inlineStr">
        <is>
          <t>A drill-down inside each tab — not a tab of its own</t>
        </is>
      </c>
    </row>
    <row r="31">
      <c r="A31" s="5" t="n">
        <v>7</v>
      </c>
      <c r="B31" s="4" t="inlineStr">
        <is>
          <t>Root cause / evidence</t>
        </is>
      </c>
      <c r="C31" s="5" t="inlineStr">
        <is>
          <t>Evidence for the cause</t>
        </is>
      </c>
      <c r="D31" s="5" t="inlineStr">
        <is>
          <t>Audit drawer</t>
        </is>
      </c>
      <c r="E31" s="5" t="inlineStr">
        <is>
          <t>Audit drawer and explanation panel</t>
        </is>
      </c>
    </row>
    <row r="32">
      <c r="A32" s="5" t="n">
        <v>8</v>
      </c>
      <c r="B32" s="4" t="inlineStr">
        <is>
          <t>Business assessment</t>
        </is>
      </c>
      <c r="C32" s="5" t="inlineStr">
        <is>
          <t>Evaluate the options</t>
        </is>
      </c>
      <c r="D32" s="5" t="inlineStr">
        <is>
          <t>—</t>
        </is>
      </c>
      <c r="E32" s="5" t="inlineStr">
        <is>
          <t>—</t>
        </is>
      </c>
    </row>
    <row r="33" ht="37.3" customHeight="1">
      <c r="A33" s="5" t="n">
        <v>9</v>
      </c>
      <c r="B33" s="4" t="inlineStr">
        <is>
          <t>Decide an option</t>
        </is>
      </c>
      <c r="C33" s="5" t="inlineStr">
        <is>
          <t>Three decision paths</t>
        </is>
      </c>
      <c r="D33" s="5" t="inlineStr">
        <is>
          <t>SKU Rationalization · SKU Assortment · Launch Readiness</t>
        </is>
      </c>
      <c r="E33" s="5" t="inlineStr">
        <is>
          <t>Tabs: SKU Rationalization, Launch Readiness. Where Assortment goes is to be settled — Report 2 folds it into Portfolio Health.</t>
        </is>
      </c>
    </row>
    <row r="34">
      <c r="A34" s="5" t="n">
        <v>10</v>
      </c>
      <c r="B34" s="4" t="inlineStr">
        <is>
          <t>Scenario / simulation</t>
        </is>
      </c>
      <c r="C34" s="5" t="inlineStr">
        <is>
          <t>Model the option</t>
        </is>
      </c>
      <c r="D34" s="5" t="inlineStr">
        <is>
          <t>Simulators in several tabs</t>
        </is>
      </c>
      <c r="E34" s="5" t="inlineStr">
        <is>
          <t>Simulator within the deciding tab</t>
        </is>
      </c>
    </row>
    <row r="35" ht="24.85" customHeight="1">
      <c r="A35" s="5" t="n">
        <v>11</v>
      </c>
      <c r="B35" s="4" t="inlineStr">
        <is>
          <t>Financial / business impact</t>
        </is>
      </c>
      <c r="C35" s="5" t="inlineStr">
        <is>
          <t>Quantify it</t>
        </is>
      </c>
      <c r="D35" s="5" t="inlineStr">
        <is>
          <t>Partly</t>
        </is>
      </c>
      <c r="E35" s="5" t="inlineStr">
        <is>
          <t>Impact panel alongside the simulator</t>
        </is>
      </c>
    </row>
    <row r="36">
      <c r="A36" s="5" t="n">
        <v>12</v>
      </c>
      <c r="B36" s="4" t="inlineStr">
        <is>
          <t>Decision / approval</t>
        </is>
      </c>
      <c r="C36" s="5" t="inlineStr">
        <is>
          <t>Submit and approve</t>
        </is>
      </c>
      <c r="D36" s="5" t="inlineStr">
        <is>
          <t>Approval buttons on several screens</t>
        </is>
      </c>
      <c r="E36" s="5" t="inlineStr">
        <is>
          <t>One approval flow</t>
        </is>
      </c>
    </row>
    <row r="37">
      <c r="A37" s="5" t="n">
        <v>13</v>
      </c>
      <c r="B37" s="4" t="inlineStr">
        <is>
          <t>Action</t>
        </is>
      </c>
      <c r="C37" s="5" t="inlineStr">
        <is>
          <t>Carry out the decision</t>
        </is>
      </c>
      <c r="D37" s="5" t="inlineStr">
        <is>
          <t>Task Tracker</t>
        </is>
      </c>
      <c r="E37" s="5" t="inlineStr">
        <is>
          <t>Task list in the header (Report 2)</t>
        </is>
      </c>
    </row>
    <row r="38" ht="24.85" customHeight="1">
      <c r="A38" s="5" t="n">
        <v>14</v>
      </c>
      <c r="B38" s="4" t="inlineStr">
        <is>
          <t>Impact measurement</t>
        </is>
      </c>
      <c r="C38" s="5" t="inlineStr">
        <is>
          <t>Track the outcome and close</t>
        </is>
      </c>
      <c r="D38" s="5" t="inlineStr">
        <is>
          <t>Not built</t>
        </is>
      </c>
      <c r="E38" s="5" t="inlineStr">
        <is>
          <t>Closed loop — see Gap Analysis 'Action-to-impact tracking'</t>
        </is>
      </c>
    </row>
    <row r="40">
      <c r="A40" s="4" t="inlineStr">
        <is>
          <t>Miro board</t>
        </is>
      </c>
      <c r="B40" s="6" t="inlineStr">
        <is>
          <t>Open the decision journey</t>
        </is>
      </c>
    </row>
  </sheetData>
  <conditionalFormatting sqref="B6:D11">
    <cfRule type="cellIs" priority="1" operator="equal" dxfId="5">
      <formula>"Primary"</formula>
    </cfRule>
    <cfRule type="cellIs" priority="2" operator="equal" dxfId="0">
      <formula>"Secondary"</formula>
    </cfRule>
  </conditionalFormatting>
  <hyperlinks>
    <hyperlink xmlns:r="http://schemas.openxmlformats.org/officeDocument/2006/relationships" ref="B40" display="Open the decision journey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K26"/>
  <sheetViews>
    <sheetView showGridLines="0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5"/>
  <cols>
    <col width="6" customWidth="1" min="1" max="1"/>
    <col width="9" customWidth="1" min="2" max="2"/>
    <col width="44" customWidth="1" min="3" max="3"/>
    <col width="34" customWidth="1" min="4" max="4"/>
    <col width="11" customWidth="1" min="5" max="7"/>
    <col width="18" customWidth="1" min="8" max="8"/>
    <col width="44" customWidth="1" min="9" max="9"/>
    <col width="12" customWidth="1" min="10" max="11"/>
  </cols>
  <sheetData>
    <row r="1" ht="20.1" customHeight="1">
      <c r="A1" s="1" t="inlineStr">
        <is>
          <t>Risks &amp; Issues</t>
        </is>
      </c>
    </row>
    <row r="2">
      <c r="A2" s="2" t="inlineStr">
        <is>
          <t>Risk = might happen · Issue = already happening. Severity is a formula from Impact × Likelihood.</t>
        </is>
      </c>
    </row>
    <row r="4">
      <c r="A4" s="3" t="inlineStr">
        <is>
          <t>ID</t>
        </is>
      </c>
      <c r="B4" s="3" t="inlineStr">
        <is>
          <t>Type</t>
        </is>
      </c>
      <c r="C4" s="3" t="inlineStr">
        <is>
          <t>Risk or issue</t>
        </is>
      </c>
      <c r="D4" s="3" t="inlineStr">
        <is>
          <t>Consequence</t>
        </is>
      </c>
      <c r="E4" s="3" t="inlineStr">
        <is>
          <t>Impact</t>
        </is>
      </c>
      <c r="F4" s="3" t="inlineStr">
        <is>
          <t>Likelihood</t>
        </is>
      </c>
      <c r="G4" s="3" t="inlineStr">
        <is>
          <t>Severity</t>
        </is>
      </c>
      <c r="H4" s="3" t="inlineStr">
        <is>
          <t>Owner</t>
        </is>
      </c>
      <c r="I4" s="3" t="inlineStr">
        <is>
          <t>Mitigation / next step</t>
        </is>
      </c>
      <c r="J4" s="3" t="inlineStr">
        <is>
          <t>Linked</t>
        </is>
      </c>
      <c r="K4" s="3" t="inlineStr">
        <is>
          <t>Status</t>
        </is>
      </c>
    </row>
    <row r="5" ht="24.85" customHeight="1">
      <c r="A5" s="4" t="inlineStr">
        <is>
          <t>R1</t>
        </is>
      </c>
      <c r="B5" s="5" t="inlineStr">
        <is>
          <t>Risk</t>
        </is>
      </c>
      <c r="C5" s="4" t="inlineStr">
        <is>
          <t>Scope unresolved — capability demo or competing product</t>
        </is>
      </c>
      <c r="D5" s="5" t="inlineStr">
        <is>
          <t>Wrong investment; rework</t>
        </is>
      </c>
      <c r="E5" s="5" t="inlineStr">
        <is>
          <t>High</t>
        </is>
      </c>
      <c r="F5" s="5" t="inlineStr">
        <is>
          <t>High</t>
        </is>
      </c>
      <c r="G5" s="5">
        <f>IF(OR(E5="",F5=""),"",IF((($E5="High")*3+($E5="Medium")*2+($E5="Low")*1)*(($F5="High")*3+($F5="Medium")*2+($F5="Low")*1)&gt;=6,"High",IF((($E5="High")*3+($E5="Medium")*2+($E5="Low")*1)*(($F5="High")*3+($F5="Medium")*2+($F5="Low")*1)&gt;=3,"Medium","Low")))</f>
        <v/>
      </c>
      <c r="H5" s="5" t="inlineStr">
        <is>
          <t>Programme owner</t>
        </is>
      </c>
      <c r="I5" s="5" t="inlineStr">
        <is>
          <t>Hold M1; proceed on default A meanwhile</t>
        </is>
      </c>
      <c r="J5" s="5" t="inlineStr">
        <is>
          <t>Q1</t>
        </is>
      </c>
      <c r="K5" s="5" t="inlineStr">
        <is>
          <t>Open</t>
        </is>
      </c>
    </row>
    <row r="6" ht="24.85" customHeight="1">
      <c r="A6" s="4" t="inlineStr">
        <is>
          <t>R2</t>
        </is>
      </c>
      <c r="B6" s="5" t="inlineStr">
        <is>
          <t>Issue</t>
        </is>
      </c>
      <c r="C6" s="4" t="inlineStr">
        <is>
          <t>Conflicting figures on screen ($473M vs $851M revenue; 38.55% vs 36.2% margin)</t>
        </is>
      </c>
      <c r="D6" s="5" t="inlineStr">
        <is>
          <t>Demo credibility</t>
        </is>
      </c>
      <c r="E6" s="5" t="inlineStr">
        <is>
          <t>High</t>
        </is>
      </c>
      <c r="F6" s="5" t="inlineStr">
        <is>
          <t>High</t>
        </is>
      </c>
      <c r="G6" s="5">
        <f>IF(OR(E6="",F6=""),"",IF((($E6="High")*3+($E6="Medium")*2+($E6="Low")*1)*(($F6="High")*3+($F6="Medium")*2+($F6="Low")*1)&gt;=6,"High",IF((($E6="High")*3+($E6="Medium")*2+($E6="Low")*1)*(($F6="High")*3+($F6="Medium")*2+($F6="Low")*1)&gt;=3,"Medium","Low")))</f>
        <v/>
      </c>
      <c r="H6" s="5" t="inlineStr">
        <is>
          <t>Guna</t>
        </is>
      </c>
      <c r="I6" s="5" t="inlineStr">
        <is>
          <t>Metric registry; wire the computed arrays</t>
        </is>
      </c>
      <c r="J6" s="5" t="inlineStr">
        <is>
          <t>Q2, 3.1c</t>
        </is>
      </c>
      <c r="K6" s="5" t="inlineStr">
        <is>
          <t>Open</t>
        </is>
      </c>
    </row>
    <row r="7">
      <c r="A7" s="4" t="inlineStr">
        <is>
          <t>R3</t>
        </is>
      </c>
      <c r="B7" s="5" t="inlineStr">
        <is>
          <t>Issue</t>
        </is>
      </c>
      <c r="C7" s="4" t="inlineStr">
        <is>
          <t>Profit cards have no cost basis (no opex data)</t>
        </is>
      </c>
      <c r="D7" s="5" t="inlineStr">
        <is>
          <t>An undefendable number in front of a client</t>
        </is>
      </c>
      <c r="E7" s="5" t="inlineStr">
        <is>
          <t>High</t>
        </is>
      </c>
      <c r="F7" s="5" t="inlineStr">
        <is>
          <t>High</t>
        </is>
      </c>
      <c r="G7" s="5">
        <f>IF(OR(E7="",F7=""),"",IF((($E7="High")*3+($E7="Medium")*2+($E7="Low")*1)*(($F7="High")*3+($F7="Medium")*2+($F7="Low")*1)&gt;=6,"High",IF((($E7="High")*3+($E7="Medium")*2+($E7="Low")*1)*(($F7="High")*3+($F7="Medium")*2+($F7="Low")*1)&gt;=3,"Medium","Low")))</f>
        <v/>
      </c>
      <c r="H7" s="10" t="n"/>
      <c r="I7" s="5" t="inlineStr">
        <is>
          <t>Remove the cards unless opex is added</t>
        </is>
      </c>
      <c r="J7" s="5" t="inlineStr">
        <is>
          <t>Q4</t>
        </is>
      </c>
      <c r="K7" s="5" t="inlineStr">
        <is>
          <t>Open</t>
        </is>
      </c>
    </row>
    <row r="8" ht="24.85" customHeight="1">
      <c r="A8" s="4" t="inlineStr">
        <is>
          <t>R4</t>
        </is>
      </c>
      <c r="B8" s="5" t="inlineStr">
        <is>
          <t>Issue</t>
        </is>
      </c>
      <c r="C8" s="4" t="inlineStr">
        <is>
          <t>Two required KPIs cannot be computed (no launch dates)</t>
        </is>
      </c>
      <c r="D8" s="5" t="inlineStr">
        <is>
          <t>Brief not met</t>
        </is>
      </c>
      <c r="E8" s="5" t="inlineStr">
        <is>
          <t>High</t>
        </is>
      </c>
      <c r="F8" s="5" t="inlineStr">
        <is>
          <t>High</t>
        </is>
      </c>
      <c r="G8" s="5">
        <f>IF(OR(E8="",F8=""),"",IF((($E8="High")*3+($E8="Medium")*2+($E8="Low")*1)*(($F8="High")*3+($F8="Medium")*2+($F8="Low")*1)&gt;=6,"High",IF((($E8="High")*3+($E8="Medium")*2+($E8="Low")*1)*(($F8="High")*3+($F8="Medium")*2+($F8="Low")*1)&gt;=3,"Medium","Low")))</f>
        <v/>
      </c>
      <c r="H8" s="10" t="n"/>
      <c r="I8" s="5" t="inlineStr">
        <is>
          <t>Synthetic launch table</t>
        </is>
      </c>
      <c r="J8" s="5" t="inlineStr">
        <is>
          <t>Q3</t>
        </is>
      </c>
      <c r="K8" s="5" t="inlineStr">
        <is>
          <t>Open</t>
        </is>
      </c>
    </row>
    <row r="9" ht="24.85" customHeight="1">
      <c r="A9" s="4" t="inlineStr">
        <is>
          <t>R5</t>
        </is>
      </c>
      <c r="B9" s="5" t="inlineStr">
        <is>
          <t>Issue</t>
        </is>
      </c>
      <c r="C9" s="4" t="inlineStr">
        <is>
          <t>Real brands in demo data (seven in the database, plus PepsiCo brands)</t>
        </is>
      </c>
      <c r="D9" s="5" t="inlineStr">
        <is>
          <t>Trademark or brand complaint</t>
        </is>
      </c>
      <c r="E9" s="5" t="inlineStr">
        <is>
          <t>High</t>
        </is>
      </c>
      <c r="F9" s="5" t="inlineStr">
        <is>
          <t>Medium</t>
        </is>
      </c>
      <c r="G9" s="5">
        <f>IF(OR(E9="",F9=""),"",IF((($E9="High")*3+($E9="Medium")*2+($E9="Low")*1)*(($F9="High")*3+($F9="Medium")*2+($F9="Low")*1)&gt;=6,"High",IF((($E9="High")*3+($E9="Medium")*2+($E9="Low")*1)*(($F9="High")*3+($F9="Medium")*2+($F9="Low")*1)&gt;=3,"Medium","Low")))</f>
        <v/>
      </c>
      <c r="H9" s="10" t="n"/>
      <c r="I9" s="5" t="inlineStr">
        <is>
          <t>Rename to fictional brands</t>
        </is>
      </c>
      <c r="J9" s="5" t="inlineStr">
        <is>
          <t>Q8, 3.1d</t>
        </is>
      </c>
      <c r="K9" s="5" t="inlineStr">
        <is>
          <t>Open</t>
        </is>
      </c>
    </row>
    <row r="10">
      <c r="A10" s="4" t="inlineStr">
        <is>
          <t>R6</t>
        </is>
      </c>
      <c r="B10" s="5" t="inlineStr">
        <is>
          <t>Issue</t>
        </is>
      </c>
      <c r="C10" s="4" t="inlineStr">
        <is>
          <t>Netherlands margin inverted against the source</t>
        </is>
      </c>
      <c r="D10" s="5" t="inlineStr">
        <is>
          <t>Credibility with an informed viewer</t>
        </is>
      </c>
      <c r="E10" s="5" t="inlineStr">
        <is>
          <t>Medium</t>
        </is>
      </c>
      <c r="F10" s="5" t="inlineStr">
        <is>
          <t>Medium</t>
        </is>
      </c>
      <c r="G10" s="5">
        <f>IF(OR(E10="",F10=""),"",IF((($E10="High")*3+($E10="Medium")*2+($E10="Low")*1)*(($F10="High")*3+($F10="Medium")*2+($F10="Low")*1)&gt;=6,"High",IF((($E10="High")*3+($E10="Medium")*2+($E10="Low")*1)*(($F10="High")*3+($F10="Medium")*2+($F10="Low")*1)&gt;=3,"Medium","Low")))</f>
        <v/>
      </c>
      <c r="H10" s="10" t="n"/>
      <c r="I10" s="5" t="inlineStr">
        <is>
          <t>Generator constraint plus a validation check</t>
        </is>
      </c>
      <c r="J10" s="5" t="inlineStr">
        <is>
          <t>Q6</t>
        </is>
      </c>
      <c r="K10" s="5" t="inlineStr">
        <is>
          <t>Open</t>
        </is>
      </c>
    </row>
    <row r="11" ht="24.85" customHeight="1">
      <c r="A11" s="4" t="inlineStr">
        <is>
          <t>R7</t>
        </is>
      </c>
      <c r="B11" s="5" t="inlineStr">
        <is>
          <t>Risk</t>
        </is>
      </c>
      <c r="C11" s="4" t="inlineStr">
        <is>
          <t>Database password in pushed git history (a3a3c54)</t>
        </is>
      </c>
      <c r="D11" s="5" t="inlineStr">
        <is>
          <t>Credential exposure</t>
        </is>
      </c>
      <c r="E11" s="5" t="inlineStr">
        <is>
          <t>Medium</t>
        </is>
      </c>
      <c r="F11" s="5" t="inlineStr">
        <is>
          <t>Low</t>
        </is>
      </c>
      <c r="G11" s="5">
        <f>IF(OR(E11="",F11=""),"",IF((($E11="High")*3+($E11="Medium")*2+($E11="Low")*1)*(($F11="High")*3+($F11="Medium")*2+($F11="Low")*1)&gt;=6,"High",IF((($E11="High")*3+($E11="Medium")*2+($E11="Low")*1)*(($F11="High")*3+($F11="Medium")*2+($F11="Low")*1)&gt;=3,"Medium","Low")))</f>
        <v/>
      </c>
      <c r="H11" s="5" t="inlineStr">
        <is>
          <t>Guna</t>
        </is>
      </c>
      <c r="I11" s="5" t="inlineStr">
        <is>
          <t>Rotated; never reuse; confirm repository visibility</t>
        </is>
      </c>
      <c r="J11" s="5" t="inlineStr">
        <is>
          <t>Q12</t>
        </is>
      </c>
      <c r="K11" s="5" t="inlineStr">
        <is>
          <t>Mitigated</t>
        </is>
      </c>
    </row>
    <row r="12" ht="24.85" customHeight="1">
      <c r="A12" s="4" t="inlineStr">
        <is>
          <t>R8</t>
        </is>
      </c>
      <c r="B12" s="5" t="inlineStr">
        <is>
          <t>Issue</t>
        </is>
      </c>
      <c r="C12" s="4" t="inlineStr">
        <is>
          <t>Local PostgreSQL accepts connections without a password ('trust')</t>
        </is>
      </c>
      <c r="D12" s="5" t="inlineStr">
        <is>
          <t>Any local user can connect as superuser</t>
        </is>
      </c>
      <c r="E12" s="5" t="inlineStr">
        <is>
          <t>Low</t>
        </is>
      </c>
      <c r="F12" s="5" t="inlineStr">
        <is>
          <t>Medium</t>
        </is>
      </c>
      <c r="G12" s="5">
        <f>IF(OR(E12="",F12=""),"",IF((($E12="High")*3+($E12="Medium")*2+($E12="Low")*1)*(($F12="High")*3+($F12="Medium")*2+($F12="Low")*1)&gt;=6,"High",IF((($E12="High")*3+($E12="Medium")*2+($E12="Low")*1)*(($F12="High")*3+($F12="Medium")*2+($F12="Low")*1)&gt;=3,"Medium","Low")))</f>
        <v/>
      </c>
      <c r="H12" s="5" t="inlineStr">
        <is>
          <t>Guna</t>
        </is>
      </c>
      <c r="I12" s="5" t="inlineStr">
        <is>
          <t>Switch to scram-sha-256, then strengthen the app password</t>
        </is>
      </c>
      <c r="J12" s="5" t="inlineStr">
        <is>
          <t>—</t>
        </is>
      </c>
      <c r="K12" s="5" t="inlineStr">
        <is>
          <t>Open</t>
        </is>
      </c>
    </row>
    <row r="13">
      <c r="A13" s="4" t="inlineStr">
        <is>
          <t>R9</t>
        </is>
      </c>
      <c r="B13" s="5" t="inlineStr">
        <is>
          <t>Risk</t>
        </is>
      </c>
      <c r="C13" s="4" t="inlineStr">
        <is>
          <t>No demo date set</t>
        </is>
      </c>
      <c r="D13" s="5" t="inlineStr">
        <is>
          <t>No forcing function; scope drifts</t>
        </is>
      </c>
      <c r="E13" s="5" t="inlineStr">
        <is>
          <t>High</t>
        </is>
      </c>
      <c r="F13" s="5" t="inlineStr">
        <is>
          <t>Medium</t>
        </is>
      </c>
      <c r="G13" s="5">
        <f>IF(OR(E13="",F13=""),"",IF((($E13="High")*3+($E13="Medium")*2+($E13="Low")*1)*(($F13="High")*3+($F13="Medium")*2+($F13="Low")*1)&gt;=6,"High",IF((($E13="High")*3+($E13="Medium")*2+($E13="Low")*1)*(($F13="High")*3+($F13="Medium")*2+($F13="Low")*1)&gt;=3,"Medium","Low")))</f>
        <v/>
      </c>
      <c r="H13" s="5" t="inlineStr">
        <is>
          <t>Programme owner</t>
        </is>
      </c>
      <c r="I13" s="5" t="inlineStr">
        <is>
          <t>Set a date in M1</t>
        </is>
      </c>
      <c r="J13" s="5" t="inlineStr">
        <is>
          <t>Q9</t>
        </is>
      </c>
      <c r="K13" s="5" t="inlineStr">
        <is>
          <t>Open</t>
        </is>
      </c>
    </row>
    <row r="14" ht="24.85" customHeight="1">
      <c r="A14" s="4" t="inlineStr">
        <is>
          <t>R10</t>
        </is>
      </c>
      <c r="B14" s="5" t="inlineStr">
        <is>
          <t>Risk</t>
        </is>
      </c>
      <c r="C14" s="4" t="inlineStr">
        <is>
          <t>Backend (6 weeks) is the critical path</t>
        </is>
      </c>
      <c r="D14" s="5" t="inlineStr">
        <is>
          <t>Demo slips</t>
        </is>
      </c>
      <c r="E14" s="5" t="inlineStr">
        <is>
          <t>High</t>
        </is>
      </c>
      <c r="F14" s="5" t="inlineStr">
        <is>
          <t>Medium</t>
        </is>
      </c>
      <c r="G14" s="5">
        <f>IF(OR(E14="",F14=""),"",IF((($E14="High")*3+($E14="Medium")*2+($E14="Low")*1)*(($F14="High")*3+($F14="Medium")*2+($F14="Low")*1)&gt;=6,"High",IF((($E14="High")*3+($E14="Medium")*2+($E14="Low")*1)*(($F14="High")*3+($F14="Medium")*2+($F14="Low")*1)&gt;=3,"Medium","Low")))</f>
        <v/>
      </c>
      <c r="H14" s="10" t="n"/>
      <c r="I14" s="5" t="inlineStr">
        <is>
          <t>Narrow the API to Next-state endpoints; start once the KPI framework is agreed</t>
        </is>
      </c>
      <c r="J14" s="5" t="inlineStr">
        <is>
          <t>3.8</t>
        </is>
      </c>
      <c r="K14" s="5" t="inlineStr">
        <is>
          <t>Open</t>
        </is>
      </c>
    </row>
    <row r="15" ht="24.85" customHeight="1">
      <c r="A15" s="4" t="inlineStr">
        <is>
          <t>R11</t>
        </is>
      </c>
      <c r="B15" s="5" t="inlineStr">
        <is>
          <t>Risk</t>
        </is>
      </c>
      <c r="C15" s="4" t="inlineStr">
        <is>
          <t>Knowledge concentrated in one contributor — all commits since 1 Sep</t>
        </is>
      </c>
      <c r="D15" s="5" t="inlineStr">
        <is>
          <t>Single point of failure</t>
        </is>
      </c>
      <c r="E15" s="5" t="inlineStr">
        <is>
          <t>Medium</t>
        </is>
      </c>
      <c r="F15" s="5" t="inlineStr">
        <is>
          <t>Medium</t>
        </is>
      </c>
      <c r="G15" s="5">
        <f>IF(OR(E15="",F15=""),"",IF((($E15="High")*3+($E15="Medium")*2+($E15="Low")*1)*(($F15="High")*3+($F15="Medium")*2+($F15="Low")*1)&gt;=6,"High",IF((($E15="High")*3+($E15="Medium")*2+($E15="Low")*1)*(($F15="High")*3+($F15="Medium")*2+($F15="Low")*1)&gt;=3,"Medium","Low")))</f>
        <v/>
      </c>
      <c r="H15" s="10" t="n"/>
      <c r="I15" s="5" t="inlineStr">
        <is>
          <t>CLAUDE.md, this tracker, pairing</t>
        </is>
      </c>
      <c r="J15" s="5" t="inlineStr">
        <is>
          <t>—</t>
        </is>
      </c>
      <c r="K15" s="5" t="inlineStr">
        <is>
          <t>Open</t>
        </is>
      </c>
    </row>
    <row r="16" ht="24.85" customHeight="1">
      <c r="A16" s="4" t="inlineStr">
        <is>
          <t>R12</t>
        </is>
      </c>
      <c r="B16" s="5" t="inlineStr">
        <is>
          <t>Risk</t>
        </is>
      </c>
      <c r="C16" s="4" t="inlineStr">
        <is>
          <t>Work tracker and architecture diagrams not in version control (gitignored)</t>
        </is>
      </c>
      <c r="D16" s="5" t="inlineStr">
        <is>
          <t>Lost on a fresh clone</t>
        </is>
      </c>
      <c r="E16" s="5" t="inlineStr">
        <is>
          <t>Medium</t>
        </is>
      </c>
      <c r="F16" s="5" t="inlineStr">
        <is>
          <t>Medium</t>
        </is>
      </c>
      <c r="G16" s="5">
        <f>IF(OR(E16="",F16=""),"",IF((($E16="High")*3+($E16="Medium")*2+($E16="Low")*1)*(($F16="High")*3+($F16="Medium")*2+($F16="Low")*1)&gt;=6,"High",IF((($E16="High")*3+($E16="Medium")*2+($E16="Low")*1)*(($F16="High")*3+($F16="Medium")*2+($F16="Low")*1)&gt;=3,"Medium","Low")))</f>
        <v/>
      </c>
      <c r="H16" s="5" t="inlineStr">
        <is>
          <t>Guna</t>
        </is>
      </c>
      <c r="I16" s="5" t="inlineStr">
        <is>
          <t>Remove from .gitignore; use this sheet as the shared tracker</t>
        </is>
      </c>
      <c r="J16" s="5" t="inlineStr">
        <is>
          <t>—</t>
        </is>
      </c>
      <c r="K16" s="5" t="inlineStr">
        <is>
          <t>Open</t>
        </is>
      </c>
    </row>
    <row r="17">
      <c r="A17" s="4" t="inlineStr">
        <is>
          <t>R13</t>
        </is>
      </c>
      <c r="B17" s="5" t="inlineStr">
        <is>
          <t>Risk</t>
        </is>
      </c>
      <c r="C17" s="4" t="inlineStr">
        <is>
          <t>About 30 files of completed work are uncommitted</t>
        </is>
      </c>
      <c r="D17" s="5" t="inlineStr">
        <is>
          <t>Loss of work</t>
        </is>
      </c>
      <c r="E17" s="5" t="inlineStr">
        <is>
          <t>High</t>
        </is>
      </c>
      <c r="F17" s="5" t="inlineStr">
        <is>
          <t>Low</t>
        </is>
      </c>
      <c r="G17" s="5">
        <f>IF(OR(E17="",F17=""),"",IF((($E17="High")*3+($E17="Medium")*2+($E17="Low")*1)*(($F17="High")*3+($F17="Medium")*2+($F17="Low")*1)&gt;=6,"High",IF((($E17="High")*3+($E17="Medium")*2+($E17="Low")*1)*(($F17="High")*3+($F17="Medium")*2+($F17="Low")*1)&gt;=3,"Medium","Low")))</f>
        <v/>
      </c>
      <c r="H17" s="5" t="inlineStr">
        <is>
          <t>Guna</t>
        </is>
      </c>
      <c r="I17" s="5" t="inlineStr">
        <is>
          <t>Commit in logical chunks (do not push until R7 is closed)</t>
        </is>
      </c>
      <c r="J17" s="5" t="inlineStr">
        <is>
          <t>—</t>
        </is>
      </c>
      <c r="K17" s="5" t="inlineStr">
        <is>
          <t>Open</t>
        </is>
      </c>
    </row>
    <row r="18">
      <c r="A18" s="4" t="inlineStr">
        <is>
          <t>R14</t>
        </is>
      </c>
      <c r="B18" s="5" t="inlineStr">
        <is>
          <t>Issue</t>
        </is>
      </c>
      <c r="C18" s="4" t="inlineStr">
        <is>
          <t>Smoke test covers 9 of 12 tabs</t>
        </is>
      </c>
      <c r="D18" s="5" t="inlineStr">
        <is>
          <t>Breakage in tabs 9–11 goes unnoticed</t>
        </is>
      </c>
      <c r="E18" s="5" t="inlineStr">
        <is>
          <t>Medium</t>
        </is>
      </c>
      <c r="F18" s="5" t="inlineStr">
        <is>
          <t>Medium</t>
        </is>
      </c>
      <c r="G18" s="5">
        <f>IF(OR(E18="",F18=""),"",IF((($E18="High")*3+($E18="Medium")*2+($E18="Low")*1)*(($F18="High")*3+($F18="Medium")*2+($F18="Low")*1)&gt;=6,"High",IF((($E18="High")*3+($E18="Medium")*2+($E18="Low")*1)*(($F18="High")*3+($F18="Medium")*2+($F18="Low")*1)&gt;=3,"Medium","Low")))</f>
        <v/>
      </c>
      <c r="H18" s="10" t="n"/>
      <c r="I18" s="5" t="inlineStr">
        <is>
          <t>Extend the test to all tabs</t>
        </is>
      </c>
      <c r="J18" s="5" t="inlineStr">
        <is>
          <t>4.3</t>
        </is>
      </c>
      <c r="K18" s="5" t="inlineStr">
        <is>
          <t>Open</t>
        </is>
      </c>
    </row>
    <row r="19" ht="24.85" customHeight="1">
      <c r="A19" s="4" t="inlineStr">
        <is>
          <t>R15</t>
        </is>
      </c>
      <c r="B19" s="5" t="inlineStr">
        <is>
          <t>Risk</t>
        </is>
      </c>
      <c r="C19" s="4" t="inlineStr">
        <is>
          <t>LLM model and pricing assumptions are out of date</t>
        </is>
      </c>
      <c r="D19" s="5" t="inlineStr">
        <is>
          <t>Wrong running cost quoted</t>
        </is>
      </c>
      <c r="E19" s="5" t="inlineStr">
        <is>
          <t>Medium</t>
        </is>
      </c>
      <c r="F19" s="5" t="inlineStr">
        <is>
          <t>Medium</t>
        </is>
      </c>
      <c r="G19" s="5">
        <f>IF(OR(E19="",F19=""),"",IF((($E19="High")*3+($E19="Medium")*2+($E19="Low")*1)*(($F19="High")*3+($F19="Medium")*2+($F19="Low")*1)&gt;=6,"High",IF((($E19="High")*3+($E19="Medium")*2+($E19="Low")*1)*(($F19="High")*3+($F19="Medium")*2+($F19="Low")*1)&gt;=3,"Medium","Low")))</f>
        <v/>
      </c>
      <c r="H19" s="10" t="n"/>
      <c r="I19" s="5" t="inlineStr">
        <is>
          <t>Re-price before quoting</t>
        </is>
      </c>
      <c r="J19" s="5" t="inlineStr">
        <is>
          <t>Q10</t>
        </is>
      </c>
      <c r="K19" s="5" t="inlineStr">
        <is>
          <t>Open</t>
        </is>
      </c>
    </row>
    <row r="20" ht="24.85" customHeight="1">
      <c r="A20" s="4" t="inlineStr">
        <is>
          <t>R16</t>
        </is>
      </c>
      <c r="B20" s="5" t="inlineStr">
        <is>
          <t>Issue</t>
        </is>
      </c>
      <c r="C20" s="4" t="inlineStr">
        <is>
          <t>Stale documentation — SKU counts disagree across documents</t>
        </is>
      </c>
      <c r="D20" s="5" t="inlineStr">
        <is>
          <t>Wrong numbers repeated</t>
        </is>
      </c>
      <c r="E20" s="5" t="inlineStr">
        <is>
          <t>Low</t>
        </is>
      </c>
      <c r="F20" s="5" t="inlineStr">
        <is>
          <t>High</t>
        </is>
      </c>
      <c r="G20" s="5">
        <f>IF(OR(E20="",F20=""),"",IF((($E20="High")*3+($E20="Medium")*2+($E20="Low")*1)*(($F20="High")*3+($F20="Medium")*2+($F20="Low")*1)&gt;=6,"High",IF((($E20="High")*3+($E20="Medium")*2+($E20="Low")*1)*(($F20="High")*3+($F20="Medium")*2+($F20="Low")*1)&gt;=3,"Medium","Low")))</f>
        <v/>
      </c>
      <c r="H20" s="10" t="n"/>
      <c r="I20" s="5" t="inlineStr">
        <is>
          <t>Correct the documents; treat them as dated</t>
        </is>
      </c>
      <c r="J20" s="5" t="inlineStr">
        <is>
          <t>—</t>
        </is>
      </c>
      <c r="K20" s="5" t="inlineStr">
        <is>
          <t>Open</t>
        </is>
      </c>
    </row>
    <row r="21">
      <c r="A21" s="4" t="inlineStr">
        <is>
          <t>R17</t>
        </is>
      </c>
      <c r="B21" s="5" t="inlineStr">
        <is>
          <t>Issue</t>
        </is>
      </c>
      <c r="C21" s="4" t="inlineStr">
        <is>
          <t>Six npm security advisories in build tooling</t>
        </is>
      </c>
      <c r="D21" s="5" t="inlineStr">
        <is>
          <t>Development-only exposure</t>
        </is>
      </c>
      <c r="E21" s="5" t="inlineStr">
        <is>
          <t>Low</t>
        </is>
      </c>
      <c r="F21" s="5" t="inlineStr">
        <is>
          <t>Low</t>
        </is>
      </c>
      <c r="G21" s="5">
        <f>IF(OR(E21="",F21=""),"",IF((($E21="High")*3+($E21="Medium")*2+($E21="Low")*1)*(($F21="High")*3+($F21="Medium")*2+($F21="Low")*1)&gt;=6,"High",IF((($E21="High")*3+($E21="Medium")*2+($E21="Low")*1)*(($F21="High")*3+($F21="Medium")*2+($F21="Low")*1)&gt;=3,"Medium","Low")))</f>
        <v/>
      </c>
      <c r="H21" s="10" t="n"/>
      <c r="I21" s="5" t="inlineStr">
        <is>
          <t>Apply non-breaking npm audit fixes</t>
        </is>
      </c>
      <c r="J21" s="5" t="inlineStr">
        <is>
          <t>—</t>
        </is>
      </c>
      <c r="K21" s="5" t="inlineStr">
        <is>
          <t>Open</t>
        </is>
      </c>
    </row>
    <row r="22" ht="24.85" customHeight="1">
      <c r="A22" s="4" t="inlineStr">
        <is>
          <t>R18</t>
        </is>
      </c>
      <c r="B22" s="5" t="inlineStr">
        <is>
          <t>Issue</t>
        </is>
      </c>
      <c r="C22" s="4" t="inlineStr">
        <is>
          <t>Lifecycle 'Total Revenue' shows ~$10,592M — about 22× actual net sales</t>
        </is>
      </c>
      <c r="D22" s="5" t="inlineStr">
        <is>
          <t>Executives see a revenue figure an order of magnitude too high</t>
        </is>
      </c>
      <c r="E22" s="5" t="inlineStr">
        <is>
          <t>High</t>
        </is>
      </c>
      <c r="F22" s="5" t="inlineStr">
        <is>
          <t>High</t>
        </is>
      </c>
      <c r="G22" s="5">
        <f>IF(OR(E22="",F22=""),"",IF((($E22="High")*3+($E22="Medium")*2+($E22="Low")*1)*(($F22="High")*3+($F22="Medium")*2+($F22="Low")*1)&gt;=6,"High",IF((($E22="High")*3+($E22="Medium")*2+($E22="Low")*1)*(($F22="High")*3+($F22="Medium")*2+($F22="Low")*1)&gt;=3,"Medium","Low")))</f>
        <v/>
      </c>
      <c r="H22" s="5" t="inlineStr">
        <is>
          <t>Guna</t>
        </is>
      </c>
      <c r="I22" s="5" t="inlineStr">
        <is>
          <t>Fix LifecycleHealthPanel.tsx:100; route through the metric registry. Found by the team's review.</t>
        </is>
      </c>
      <c r="J22" s="5" t="inlineStr">
        <is>
          <t>3.1c</t>
        </is>
      </c>
      <c r="K22" s="5" t="inlineStr">
        <is>
          <t>Open</t>
        </is>
      </c>
    </row>
    <row r="23" ht="24.85" customHeight="1">
      <c r="A23" s="4" t="inlineStr">
        <is>
          <t>R19</t>
        </is>
      </c>
      <c r="B23" s="5" t="inlineStr">
        <is>
          <t>Issue</t>
        </is>
      </c>
      <c r="C23" s="4" t="inlineStr">
        <is>
          <t>Five competing project plans across the team</t>
        </is>
      </c>
      <c r="D23" s="5" t="inlineStr">
        <is>
          <t>People track against different lists; status disagrees</t>
        </is>
      </c>
      <c r="E23" s="5" t="inlineStr">
        <is>
          <t>Medium</t>
        </is>
      </c>
      <c r="F23" s="5" t="inlineStr">
        <is>
          <t>High</t>
        </is>
      </c>
      <c r="G23" s="5">
        <f>IF(OR(E23="",F23=""),"",IF((($E23="High")*3+($E23="Medium")*2+($E23="Low")*1)*(($F23="High")*3+($F23="Medium")*2+($F23="Low")*1)&gt;=6,"High",IF((($E23="High")*3+($E23="Medium")*2+($E23="Low")*1)*(($F23="High")*3+($F23="Medium")*2+($F23="Low")*1)&gt;=3,"Medium","Low")))</f>
        <v/>
      </c>
      <c r="H23" s="10" t="n"/>
      <c r="I23" s="5" t="inlineStr">
        <is>
          <t>Adopt this merged tracker (M8); retire the others</t>
        </is>
      </c>
      <c r="J23" s="5" t="inlineStr">
        <is>
          <t>D13</t>
        </is>
      </c>
      <c r="K23" s="5" t="inlineStr">
        <is>
          <t>Open</t>
        </is>
      </c>
    </row>
    <row r="24" ht="24.85" customHeight="1">
      <c r="A24" s="4" t="inlineStr">
        <is>
          <t>R20</t>
        </is>
      </c>
      <c r="B24" s="5" t="inlineStr">
        <is>
          <t>Issue</t>
        </is>
      </c>
      <c r="C24" s="4" t="inlineStr">
        <is>
          <t>Team benchmark compares PLM vendors with mixed scales; sources unverified</t>
        </is>
      </c>
      <c r="D24" s="5" t="inlineStr">
        <is>
          <t>Weak external comparison</t>
        </is>
      </c>
      <c r="E24" s="5" t="inlineStr">
        <is>
          <t>Low</t>
        </is>
      </c>
      <c r="F24" s="5" t="inlineStr">
        <is>
          <t>Medium</t>
        </is>
      </c>
      <c r="G24" s="5">
        <f>IF(OR(E24="",F24=""),"",IF((($E24="High")*3+($E24="Medium")*2+($E24="Low")*1)*(($F24="High")*3+($F24="Medium")*2+($F24="Low")*1)&gt;=6,"High",IF((($E24="High")*3+($E24="Medium")*2+($E24="Low")*1)*(($F24="High")*3+($F24="Medium")*2+($F24="Low")*1)&gt;=3,"Medium","Low")))</f>
        <v/>
      </c>
      <c r="H24" s="10" t="n"/>
      <c r="I24" s="5" t="inlineStr">
        <is>
          <t>Use Report 3 externally; verify sources; one rating scale</t>
        </is>
      </c>
      <c r="J24" s="5" t="inlineStr">
        <is>
          <t>1.5</t>
        </is>
      </c>
      <c r="K24" s="5" t="inlineStr">
        <is>
          <t>Open</t>
        </is>
      </c>
    </row>
    <row r="25">
      <c r="A25" s="4" t="inlineStr">
        <is>
          <t>R21</t>
        </is>
      </c>
      <c r="B25" s="5" t="inlineStr">
        <is>
          <t>Risk</t>
        </is>
      </c>
      <c r="C25" s="4" t="inlineStr">
        <is>
          <t>Tab rework (3.2–3.6) has no estimates</t>
        </is>
      </c>
      <c r="D25" s="5" t="inlineStr">
        <is>
          <t>Gate 3 and the demo date are optimistic</t>
        </is>
      </c>
      <c r="E25" s="5" t="inlineStr">
        <is>
          <t>Medium</t>
        </is>
      </c>
      <c r="F25" s="5" t="inlineStr">
        <is>
          <t>High</t>
        </is>
      </c>
      <c r="G25" s="5">
        <f>IF(OR(E25="",F25=""),"",IF((($E25="High")*3+($E25="Medium")*2+($E25="Low")*1)*(($F25="High")*3+($F25="Medium")*2+($F25="Low")*1)&gt;=6,"High",IF((($E25="High")*3+($E25="Medium")*2+($E25="Low")*1)*(($F25="High")*3+($F25="Medium")*2+($F25="Low")*1)&gt;=3,"Medium","Low")))</f>
        <v/>
      </c>
      <c r="H25" s="10" t="n"/>
      <c r="I25" s="5" t="inlineStr">
        <is>
          <t>Estimate from the gap analyses in M8</t>
        </is>
      </c>
      <c r="J25" s="5" t="inlineStr">
        <is>
          <t>3.2–3.6</t>
        </is>
      </c>
      <c r="K25" s="5" t="inlineStr">
        <is>
          <t>Open</t>
        </is>
      </c>
    </row>
    <row r="26" ht="62.15" customHeight="1">
      <c r="A26" s="4" t="inlineStr">
        <is>
          <t>R22</t>
        </is>
      </c>
      <c r="B26" s="5" t="inlineStr">
        <is>
          <t>Issue</t>
        </is>
      </c>
      <c r="C26" s="4" t="inlineStr">
        <is>
          <t>Timeline selector fabricates variance on every figure, including the two KPI-strip metrics previously found to be genuinely computed</t>
        </is>
      </c>
      <c r="D26" s="5" t="inlineStr">
        <is>
          <t>Changing the date-range filter changes numbers for reasons unrelated to the real period -- including '$473M', which is perturbed by a deterministic hash even at the default 12-month view</t>
        </is>
      </c>
      <c r="E26" s="5" t="inlineStr">
        <is>
          <t>High</t>
        </is>
      </c>
      <c r="F26" s="5" t="inlineStr">
        <is>
          <t>High</t>
        </is>
      </c>
      <c r="G26" s="5">
        <f>IF(OR(E26="",F26=""),"",IF((($E26="High")*3+($E26="Medium")*2+($E26="Low")*1)*(($F26="High")*3+($F26="Medium")*2+($F26="Low")*1)&gt;=6,"High",IF((($E26="High")*3+($E26="Medium")*2+($E26="Low")*1)*(($F26="High")*3+($F26="Medium")*2+($F26="Low")*1)&gt;=3,"Medium","Low")))</f>
        <v/>
      </c>
      <c r="H26" s="5" t="inlineStr">
        <is>
          <t>Guna</t>
        </is>
      </c>
      <c r="I26" s="5" t="inlineStr">
        <is>
          <t>Remove the noise layer (utils/timeframe.ts) once the metric registry (3.1c) is the single source; until then, treat every displayed figure as unverified whenever the timeline filter is not left at its default</t>
        </is>
      </c>
      <c r="J26" s="5" t="inlineStr">
        <is>
          <t>3.1c</t>
        </is>
      </c>
      <c r="K26" s="5" t="inlineStr">
        <is>
          <t>Open</t>
        </is>
      </c>
    </row>
  </sheetData>
  <autoFilter ref="A4:K26"/>
  <conditionalFormatting sqref="G26">
    <cfRule type="cellIs" priority="13" operator="equal" dxfId="2">
      <formula>"High"</formula>
    </cfRule>
    <cfRule type="cellIs" priority="14" operator="equal" dxfId="4">
      <formula>"Medium"</formula>
    </cfRule>
    <cfRule type="cellIs" priority="15" operator="equal" dxfId="5">
      <formula>"Low"</formula>
    </cfRule>
  </conditionalFormatting>
  <conditionalFormatting sqref="E5:E25">
    <cfRule type="cellIs" priority="1" operator="equal" dxfId="2">
      <formula>"High"</formula>
    </cfRule>
    <cfRule type="cellIs" priority="2" operator="equal" dxfId="4">
      <formula>"Medium"</formula>
    </cfRule>
    <cfRule type="cellIs" priority="3" operator="equal" dxfId="5">
      <formula>"Low"</formula>
    </cfRule>
  </conditionalFormatting>
  <conditionalFormatting sqref="F5:F25">
    <cfRule type="cellIs" priority="4" operator="equal" dxfId="2">
      <formula>"High"</formula>
    </cfRule>
    <cfRule type="cellIs" priority="5" operator="equal" dxfId="4">
      <formula>"Medium"</formula>
    </cfRule>
    <cfRule type="cellIs" priority="6" operator="equal" dxfId="5">
      <formula>"Low"</formula>
    </cfRule>
  </conditionalFormatting>
  <conditionalFormatting sqref="G5:G25">
    <cfRule type="cellIs" priority="7" operator="equal" dxfId="2">
      <formula>"High"</formula>
    </cfRule>
    <cfRule type="cellIs" priority="8" operator="equal" dxfId="4">
      <formula>"Medium"</formula>
    </cfRule>
    <cfRule type="cellIs" priority="9" operator="equal" dxfId="5">
      <formula>"Low"</formula>
    </cfRule>
  </conditionalFormatting>
  <conditionalFormatting sqref="K5:K25">
    <cfRule type="cellIs" priority="10" operator="equal" dxfId="4">
      <formula>"Open"</formula>
    </cfRule>
    <cfRule type="cellIs" priority="11" operator="equal" dxfId="1">
      <formula>"Mitigated"</formula>
    </cfRule>
    <cfRule type="cellIs" priority="12" operator="equal" dxfId="5">
      <formula>"Closed"</formula>
    </cfRule>
  </conditionalFormatting>
  <dataValidations count="3">
    <dataValidation sqref="B5:B25 B26" showDropDown="0" showInputMessage="0" showErrorMessage="0" allowBlank="1" type="list">
      <formula1>"Risk,Issue"</formula1>
    </dataValidation>
    <dataValidation sqref="E5:E25 E26 F5:F25 F26" showDropDown="0" showInputMessage="0" showErrorMessage="0" allowBlank="1" type="list">
      <formula1>"High,Medium,Low"</formula1>
    </dataValidation>
    <dataValidation sqref="K5:K25 K26" showDropDown="0" showInputMessage="0" showErrorMessage="0" allowBlank="1" type="list">
      <formula1>"Open,Mitigated,Closed"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48235"/>
    <outlinePr summaryBelow="1" summaryRight="1"/>
    <pageSetUpPr/>
  </sheetPr>
  <dimension ref="A1:G18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5"/>
  <cols>
    <col width="6" customWidth="1" min="1" max="1"/>
    <col width="14" customWidth="1" min="2" max="2"/>
    <col width="44" customWidth="1" min="3" max="4"/>
    <col width="32" customWidth="1" min="5" max="5"/>
    <col width="22" customWidth="1" min="6" max="6"/>
    <col width="30" customWidth="1" min="7" max="7"/>
  </cols>
  <sheetData>
    <row r="1" ht="20.1" customHeight="1">
      <c r="A1" s="1" t="inlineStr">
        <is>
          <t>Decisions — already made</t>
        </is>
      </c>
    </row>
    <row r="2">
      <c r="A2" s="2" t="inlineStr">
        <is>
          <t>Add new decisions as they are taken, including answers from Open Questions.</t>
        </is>
      </c>
    </row>
    <row r="4">
      <c r="A4" s="3" t="inlineStr">
        <is>
          <t>#</t>
        </is>
      </c>
      <c r="B4" s="3" t="inlineStr">
        <is>
          <t>Date</t>
        </is>
      </c>
      <c r="C4" s="3" t="inlineStr">
        <is>
          <t>Decision</t>
        </is>
      </c>
      <c r="D4" s="3" t="inlineStr">
        <is>
          <t>Why</t>
        </is>
      </c>
      <c r="E4" s="3" t="inlineStr">
        <is>
          <t>Alternatives considered</t>
        </is>
      </c>
      <c r="F4" s="3" t="inlineStr">
        <is>
          <t>Decided by</t>
        </is>
      </c>
      <c r="G4" s="3" t="inlineStr">
        <is>
          <t>Revisit if</t>
        </is>
      </c>
    </row>
    <row r="5" ht="24.85" customHeight="1">
      <c r="A5" s="4" t="inlineStr">
        <is>
          <t>D1</t>
        </is>
      </c>
      <c r="B5" s="5" t="inlineStr">
        <is>
          <t>~9 Sep 2026</t>
        </is>
      </c>
      <c r="C5" s="4" t="inlineStr">
        <is>
          <t>Build a synthetic dataset</t>
        </is>
      </c>
      <c r="D5" s="5" t="inlineStr">
        <is>
          <t>No transaction-level data was available — only aggregate findings.</t>
        </is>
      </c>
      <c r="E5" s="5" t="inlineStr">
        <is>
          <t>Wait for real data; keep hardcoded figures</t>
        </is>
      </c>
      <c r="F5" s="5" t="inlineStr">
        <is>
          <t>Project team</t>
        </is>
      </c>
      <c r="G5" s="5" t="inlineStr">
        <is>
          <t>Real client extracts become available</t>
        </is>
      </c>
    </row>
    <row r="6" ht="24.85" customHeight="1">
      <c r="A6" s="4" t="inlineStr">
        <is>
          <t>D2</t>
        </is>
      </c>
      <c r="B6" s="5" t="inlineStr">
        <is>
          <t>By 14 Sep 2026</t>
        </is>
      </c>
      <c r="C6" s="4" t="inlineStr">
        <is>
          <t>Report in US dollars only</t>
        </is>
      </c>
      <c r="D6" s="5" t="inlineStr">
        <is>
          <t>Simplicity; European figures treated as already converted.</t>
        </is>
      </c>
      <c r="E6" s="5" t="inlineStr">
        <is>
          <t>Multi-currency with an FX table</t>
        </is>
      </c>
      <c r="F6" s="5" t="inlineStr">
        <is>
          <t>Guna</t>
        </is>
      </c>
      <c r="G6" s="5" t="inlineStr">
        <is>
          <t>A client needs local currency</t>
        </is>
      </c>
    </row>
    <row r="7" ht="24.85" customHeight="1">
      <c r="A7" s="4" t="inlineStr">
        <is>
          <t>D3</t>
        </is>
      </c>
      <c r="B7" s="5" t="inlineStr">
        <is>
          <t>14 Sep 2026</t>
        </is>
      </c>
      <c r="C7" s="4" t="inlineStr">
        <is>
          <t>PostgreSQL star schema of 13 tables</t>
        </is>
      </c>
      <c r="D7" s="5" t="inlineStr">
        <is>
          <t>Relational integrity and metrics in SQL.</t>
        </is>
      </c>
      <c r="E7" s="5" t="inlineStr">
        <is>
          <t>S3 + Parquet + DuckDB (earlier proposal)</t>
        </is>
      </c>
      <c r="F7" s="5" t="inlineStr">
        <is>
          <t>Project team</t>
        </is>
      </c>
      <c r="G7" s="5" t="inlineStr">
        <is>
          <t>Analytics outgrow PostgreSQL</t>
        </is>
      </c>
    </row>
    <row r="8" ht="24.85" customHeight="1">
      <c r="A8" s="4" t="inlineStr">
        <is>
          <t>D4</t>
        </is>
      </c>
      <c r="B8" s="5" t="inlineStr">
        <is>
          <t>~14 Sep 2026</t>
        </is>
      </c>
      <c r="C8" s="4" t="inlineStr">
        <is>
          <t>Do not force the 34/16/16/34 segment split</t>
        </is>
      </c>
      <c r="D8" s="5" t="inlineStr">
        <is>
          <t>With median splits on both axes it is mathematically unreachable.</t>
        </is>
      </c>
      <c r="E8" s="5" t="inlineStr">
        <is>
          <t>Bias the generator</t>
        </is>
      </c>
      <c r="F8" s="5" t="inlineStr">
        <is>
          <t>Project team</t>
        </is>
      </c>
      <c r="G8" s="5" t="inlineStr">
        <is>
          <t>—</t>
        </is>
      </c>
    </row>
    <row r="9">
      <c r="A9" s="4" t="inlineStr">
        <is>
          <t>D5</t>
        </is>
      </c>
      <c r="B9" s="5" t="inlineStr">
        <is>
          <t>17 Sep 2026</t>
        </is>
      </c>
      <c r="C9" s="4" t="inlineStr">
        <is>
          <t>Target five domain tabs</t>
        </is>
      </c>
      <c r="D9" s="5" t="inlineStr">
        <is>
          <t>The Lab 8 brief requires exactly five.</t>
        </is>
      </c>
      <c r="E9" s="5" t="inlineStr">
        <is>
          <t>Keep 12</t>
        </is>
      </c>
      <c r="F9" s="5" t="inlineStr">
        <is>
          <t>Brief (binding)</t>
        </is>
      </c>
      <c r="G9" s="5" t="inlineStr">
        <is>
          <t>—</t>
        </is>
      </c>
    </row>
    <row r="10">
      <c r="A10" s="4" t="inlineStr">
        <is>
          <t>D6</t>
        </is>
      </c>
      <c r="B10" s="5" t="inlineStr">
        <is>
          <t>20 Sep 2026</t>
        </is>
      </c>
      <c r="C10" s="4" t="inlineStr">
        <is>
          <t>Backend in Python / FastAPI</t>
        </is>
      </c>
      <c r="D10" s="5" t="inlineStr">
        <is>
          <t>The data layer is already Python.</t>
        </is>
      </c>
      <c r="E10" s="5" t="inlineStr">
        <is>
          <t>Node / Express</t>
        </is>
      </c>
      <c r="F10" s="5" t="inlineStr">
        <is>
          <t>Guna</t>
        </is>
      </c>
      <c r="G10" s="5" t="inlineStr">
        <is>
          <t>—</t>
        </is>
      </c>
    </row>
    <row r="11" ht="24.85" customHeight="1">
      <c r="A11" s="4" t="inlineStr">
        <is>
          <t>D7</t>
        </is>
      </c>
      <c r="B11" s="5" t="inlineStr">
        <is>
          <t>20 Sep 2026</t>
        </is>
      </c>
      <c r="C11" s="4" t="inlineStr">
        <is>
          <t>Delete the unused Express server and dependencies</t>
        </is>
      </c>
      <c r="D11" s="5" t="inlineStr">
        <is>
          <t>Nothing used them; contradicted D6.</t>
        </is>
      </c>
      <c r="E11" s="5" t="inlineStr">
        <is>
          <t>Keep as an API seed</t>
        </is>
      </c>
      <c r="F11" s="5" t="inlineStr">
        <is>
          <t>Guna</t>
        </is>
      </c>
      <c r="G11" s="5" t="inlineStr">
        <is>
          <t>—</t>
        </is>
      </c>
    </row>
    <row r="12">
      <c r="A12" s="4" t="inlineStr">
        <is>
          <t>D8</t>
        </is>
      </c>
      <c r="B12" s="5" t="inlineStr">
        <is>
          <t>20 Sep 2026</t>
        </is>
      </c>
      <c r="C12" s="4" t="inlineStr">
        <is>
          <t>Compute metrics in SQL — one implementation</t>
        </is>
      </c>
      <c r="D12" s="5" t="inlineStr">
        <is>
          <t>Copies of a formula drift apart.</t>
        </is>
      </c>
      <c r="E12" s="5" t="inlineStr">
        <is>
          <t>Compute in the API</t>
        </is>
      </c>
      <c r="F12" s="5" t="inlineStr">
        <is>
          <t>Project team</t>
        </is>
      </c>
      <c r="G12" s="5" t="inlineStr">
        <is>
          <t>—</t>
        </is>
      </c>
    </row>
    <row r="13" ht="24.85" customHeight="1">
      <c r="A13" s="4" t="inlineStr">
        <is>
          <t>D9</t>
        </is>
      </c>
      <c r="B13" s="5" t="inlineStr">
        <is>
          <t>20 Sep 2026</t>
        </is>
      </c>
      <c r="C13" s="4" t="inlineStr">
        <is>
          <t>The LLM explains results; it never does arithmetic</t>
        </is>
      </c>
      <c r="D13" s="5" t="inlineStr">
        <is>
          <t>Lower cost; reproducible numbers.</t>
        </is>
      </c>
      <c r="E13" s="5" t="inlineStr">
        <is>
          <t>Let the LLM compute</t>
        </is>
      </c>
      <c r="F13" s="5" t="inlineStr">
        <is>
          <t>Project team — to confirm (Q10)</t>
        </is>
      </c>
      <c r="G13" s="5" t="inlineStr">
        <is>
          <t>—</t>
        </is>
      </c>
    </row>
    <row r="14">
      <c r="A14" s="4" t="inlineStr">
        <is>
          <t>D10</t>
        </is>
      </c>
      <c r="B14" s="5" t="inlineStr">
        <is>
          <t>20 Sep 2026</t>
        </is>
      </c>
      <c r="C14" s="4" t="inlineStr">
        <is>
          <t>Pin Python dependencies exactly</t>
        </is>
      </c>
      <c r="D14" s="5" t="inlineStr">
        <is>
          <t>The generator is deterministic.</t>
        </is>
      </c>
      <c r="E14" s="5" t="inlineStr">
        <is>
          <t>Version ranges</t>
        </is>
      </c>
      <c r="F14" s="5" t="inlineStr">
        <is>
          <t>Project team</t>
        </is>
      </c>
      <c r="G14" s="5" t="inlineStr">
        <is>
          <t>—</t>
        </is>
      </c>
    </row>
    <row r="15">
      <c r="A15" s="4" t="inlineStr">
        <is>
          <t>D11</t>
        </is>
      </c>
      <c r="B15" s="5" t="inlineStr">
        <is>
          <t>20 Sep 2026</t>
        </is>
      </c>
      <c r="C15" s="4" t="inlineStr">
        <is>
          <t>Non-superuser application database role</t>
        </is>
      </c>
      <c r="D15" s="5" t="inlineStr">
        <is>
          <t>Least privilege.</t>
        </is>
      </c>
      <c r="E15" s="5" t="inlineStr">
        <is>
          <t>Connect as postgres</t>
        </is>
      </c>
      <c r="F15" s="5" t="inlineStr">
        <is>
          <t>Guna</t>
        </is>
      </c>
      <c r="G15" s="5" t="inlineStr">
        <is>
          <t>—</t>
        </is>
      </c>
    </row>
    <row r="16" ht="24.85" customHeight="1">
      <c r="A16" s="4" t="inlineStr">
        <is>
          <t>D12</t>
        </is>
      </c>
      <c r="B16" s="5" t="inlineStr">
        <is>
          <t>20 Sep 2026</t>
        </is>
      </c>
      <c r="C16" s="4" t="inlineStr">
        <is>
          <t>Keep the five unwired computed arrays as wiring points</t>
        </is>
      </c>
      <c r="D16" s="5" t="inlineStr">
        <is>
          <t>Their values are correct.</t>
        </is>
      </c>
      <c r="E16" s="5" t="inlineStr">
        <is>
          <t>Delete them</t>
        </is>
      </c>
      <c r="F16" s="5" t="inlineStr">
        <is>
          <t>Project team</t>
        </is>
      </c>
      <c r="G16" s="5" t="inlineStr">
        <is>
          <t>Once wired, remove the aliases</t>
        </is>
      </c>
    </row>
    <row r="17" ht="24.85" customHeight="1">
      <c r="A17" s="4" t="inlineStr">
        <is>
          <t>D13</t>
        </is>
      </c>
      <c r="B17" s="5" t="inlineStr">
        <is>
          <t>22 Sep 2026</t>
        </is>
      </c>
      <c r="C17" s="4" t="inlineStr">
        <is>
          <t>Merge the team tracker and ours into one plan, with P1–P4 and Gates 1–4 as the backbone</t>
        </is>
      </c>
      <c r="D17" s="5" t="inlineStr">
        <is>
          <t>Five plans were in circulation; the team tracker's problem-first structure suits stakeholder review.</t>
        </is>
      </c>
      <c r="E17" s="5" t="inlineStr">
        <is>
          <t>Keep separate trackers</t>
        </is>
      </c>
      <c r="F17" s="5" t="inlineStr">
        <is>
          <t>Proposed — confirm in M8</t>
        </is>
      </c>
      <c r="G17" s="5" t="inlineStr">
        <is>
          <t>—</t>
        </is>
      </c>
    </row>
    <row r="18" ht="24.85" customHeight="1">
      <c r="A18" s="4" t="inlineStr">
        <is>
          <t>D14</t>
        </is>
      </c>
      <c r="B18" s="5" t="inlineStr">
        <is>
          <t>22 Sep 2026</t>
        </is>
      </c>
      <c r="C18" s="4" t="inlineStr">
        <is>
          <t>Assume no deadline; keep every date tentative and computed from durations</t>
        </is>
      </c>
      <c r="D18" s="5" t="inlineStr">
        <is>
          <t>No deadline is set (confirmed 22 Sep); the 20-day figure is a placeholder.</t>
        </is>
      </c>
      <c r="E18" s="5" t="inlineStr">
        <is>
          <t>Plan to 30 Sep</t>
        </is>
      </c>
      <c r="F18" s="5" t="inlineStr">
        <is>
          <t>Guna</t>
        </is>
      </c>
      <c r="G18" s="5" t="inlineStr">
        <is>
          <t>A demo date is set (Q9)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7F7F7F"/>
    <outlinePr summaryBelow="1" summaryRight="1"/>
    <pageSetUpPr/>
  </sheetPr>
  <dimension ref="A1:F28"/>
  <sheetViews>
    <sheetView showGridLines="0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9" defaultRowHeight="14.55"/>
  <cols>
    <col width="8" customWidth="1" min="1" max="1"/>
    <col width="44" customWidth="1" min="2" max="2"/>
    <col width="40" customWidth="1" min="3" max="4"/>
    <col width="34" customWidth="1" min="5" max="5"/>
    <col width="14" customWidth="1" min="6" max="6"/>
  </cols>
  <sheetData>
    <row r="1" ht="20.1" customHeight="1">
      <c r="A1" s="1" t="inlineStr">
        <is>
          <t>Architecture Roadmap — from today to the target</t>
        </is>
      </c>
    </row>
    <row r="2">
      <c r="A2" s="2" t="inlineStr">
        <is>
          <t>Diagrams: documentation/system_architecture.md (Excalidraw-ready; not in git — see R12).</t>
        </is>
      </c>
    </row>
    <row r="4" ht="15.4" customHeight="1">
      <c r="A4" s="7" t="inlineStr">
        <is>
          <t>Sequence</t>
        </is>
      </c>
    </row>
    <row r="5">
      <c r="A5" s="3" t="inlineStr">
        <is>
          <t>Step</t>
        </is>
      </c>
      <c r="B5" s="3" t="inlineStr">
        <is>
          <t>Change</t>
        </is>
      </c>
      <c r="C5" s="3" t="inlineStr">
        <is>
          <t>Why in this order</t>
        </is>
      </c>
      <c r="D5" s="3" t="inlineStr">
        <is>
          <t>Plan step</t>
        </is>
      </c>
      <c r="E5" s="3" t="inlineStr"/>
      <c r="F5" s="3" t="inlineStr">
        <is>
          <t>Status</t>
        </is>
      </c>
    </row>
    <row r="6">
      <c r="A6" s="4" t="inlineStr">
        <is>
          <t>1</t>
        </is>
      </c>
      <c r="B6" s="5" t="inlineStr">
        <is>
          <t>Load the dataset into PostgreSQL</t>
        </is>
      </c>
      <c r="C6" s="5" t="inlineStr">
        <is>
          <t>Everything else reads from it.</t>
        </is>
      </c>
      <c r="D6" s="5" t="inlineStr">
        <is>
          <t>3.1a</t>
        </is>
      </c>
      <c r="E6" s="5" t="n"/>
      <c r="F6" s="5" t="inlineStr">
        <is>
          <t>Done</t>
        </is>
      </c>
    </row>
    <row r="7" ht="24.85" customHeight="1">
      <c r="A7" s="4" t="inlineStr">
        <is>
          <t>2</t>
        </is>
      </c>
      <c r="B7" s="5" t="inlineStr">
        <is>
          <t>Settle the baseline, KPI list and decision vocabulary (M2)</t>
        </is>
      </c>
      <c r="C7" s="5" t="inlineStr">
        <is>
          <t>Registry and rules need one definition.</t>
        </is>
      </c>
      <c r="D7" s="5" t="inlineStr">
        <is>
          <t>1.7</t>
        </is>
      </c>
      <c r="E7" s="5" t="n"/>
      <c r="F7" s="5" t="inlineStr">
        <is>
          <t>Not started</t>
        </is>
      </c>
    </row>
    <row r="8">
      <c r="A8" s="4" t="inlineStr">
        <is>
          <t>3</t>
        </is>
      </c>
      <c r="B8" s="5" t="inlineStr">
        <is>
          <t>Derived metrics and the 16 checks in SQL</t>
        </is>
      </c>
      <c r="C8" s="5" t="inlineStr">
        <is>
          <t>One implementation per formula.</t>
        </is>
      </c>
      <c r="D8" s="5" t="inlineStr">
        <is>
          <t>3.1b</t>
        </is>
      </c>
      <c r="E8" s="5" t="n"/>
      <c r="F8" s="5" t="inlineStr">
        <is>
          <t>Not started</t>
        </is>
      </c>
    </row>
    <row r="9">
      <c r="A9" s="4" t="inlineStr">
        <is>
          <t>4</t>
        </is>
      </c>
      <c r="B9" s="5" t="inlineStr">
        <is>
          <t>Metric registry — one definition per figure</t>
        </is>
      </c>
      <c r="C9" s="5" t="inlineStr">
        <is>
          <t>Structural fix for conflicting numbers.</t>
        </is>
      </c>
      <c r="D9" s="5" t="inlineStr">
        <is>
          <t>3.1c</t>
        </is>
      </c>
      <c r="E9" s="5" t="n"/>
      <c r="F9" s="5" t="inlineStr">
        <is>
          <t>Not started</t>
        </is>
      </c>
    </row>
    <row r="10" ht="24.85" customHeight="1">
      <c r="A10" s="4" t="inlineStr">
        <is>
          <t>5</t>
        </is>
      </c>
      <c r="B10" s="5" t="inlineStr">
        <is>
          <t>Wire the five unused computed arrays; fix the lifecycle revenue bug</t>
        </is>
      </c>
      <c r="C10" s="5" t="inlineStr">
        <is>
          <t>Quick wins; no backend needed.</t>
        </is>
      </c>
      <c r="D10" s="5" t="inlineStr">
        <is>
          <t>3.1c</t>
        </is>
      </c>
      <c r="E10" s="5" t="n"/>
      <c r="F10" s="5" t="inlineStr">
        <is>
          <t>Not started</t>
        </is>
      </c>
    </row>
    <row r="11">
      <c r="A11" s="4" t="inlineStr">
        <is>
          <t>6</t>
        </is>
      </c>
      <c r="B11" s="5" t="inlineStr">
        <is>
          <t>FastAPI read endpoints over the registry</t>
        </is>
      </c>
      <c r="C11" s="5" t="inlineStr">
        <is>
          <t>Makes the database reachable.</t>
        </is>
      </c>
      <c r="D11" s="5" t="inlineStr">
        <is>
          <t>3.8</t>
        </is>
      </c>
      <c r="E11" s="5" t="n"/>
      <c r="F11" s="5" t="inlineStr">
        <is>
          <t>Not started</t>
        </is>
      </c>
    </row>
    <row r="12">
      <c r="A12" s="4" t="inlineStr">
        <is>
          <t>7</t>
        </is>
      </c>
      <c r="B12" s="5" t="inlineStr">
        <is>
          <t>One data hook in React; replace constant imports</t>
        </is>
      </c>
      <c r="C12" s="5" t="inlineStr">
        <is>
          <t>A data swap, not a rewrite.</t>
        </is>
      </c>
      <c r="D12" s="5" t="inlineStr">
        <is>
          <t>3.9</t>
        </is>
      </c>
      <c r="E12" s="5" t="n"/>
      <c r="F12" s="5" t="inlineStr">
        <is>
          <t>Not started</t>
        </is>
      </c>
    </row>
    <row r="13" ht="24.85" customHeight="1">
      <c r="A13" s="4" t="inlineStr">
        <is>
          <t>8</t>
        </is>
      </c>
      <c r="B13" s="5" t="inlineStr">
        <is>
          <t>Consolidate 12 tabs into 5, following the decision journey</t>
        </is>
      </c>
      <c r="C13" s="5" t="inlineStr">
        <is>
          <t>Brief compliance.</t>
        </is>
      </c>
      <c r="D13" s="5" t="inlineStr">
        <is>
          <t>3.7</t>
        </is>
      </c>
      <c r="E13" s="5" t="n"/>
      <c r="F13" s="5" t="inlineStr">
        <is>
          <t>Not started</t>
        </is>
      </c>
    </row>
    <row r="14">
      <c r="A14" s="4" t="inlineStr">
        <is>
          <t>9</t>
        </is>
      </c>
      <c r="B14" s="5" t="inlineStr">
        <is>
          <t>Checks and smoke test in CI, all 12 tabs</t>
        </is>
      </c>
      <c r="C14" s="5" t="inlineStr">
        <is>
          <t>Catches regressions.</t>
        </is>
      </c>
      <c r="D14" s="5" t="inlineStr">
        <is>
          <t>4.3</t>
        </is>
      </c>
      <c r="E14" s="5" t="n"/>
      <c r="F14" s="5" t="inlineStr">
        <is>
          <t>Not started</t>
        </is>
      </c>
    </row>
    <row r="15">
      <c r="A15" s="4" t="inlineStr">
        <is>
          <t>10</t>
        </is>
      </c>
      <c r="B15" s="5" t="inlineStr">
        <is>
          <t>Closed loop: decision → action → measured impact</t>
        </is>
      </c>
      <c r="C15" s="5" t="inlineStr">
        <is>
          <t>The journey's final stage; not built.</t>
        </is>
      </c>
      <c r="D15" s="5" t="inlineStr">
        <is>
          <t>2.1, 4.8</t>
        </is>
      </c>
      <c r="E15" s="5" t="n"/>
      <c r="F15" s="5" t="inlineStr">
        <is>
          <t>Not started</t>
        </is>
      </c>
    </row>
    <row r="16" ht="24.85" customHeight="1">
      <c r="A16" s="4" t="inlineStr">
        <is>
          <t>11</t>
        </is>
      </c>
      <c r="B16" s="5" t="inlineStr">
        <is>
          <t>Future: scheduled ingestion from ERP, POS, PLM, demand planning</t>
        </is>
      </c>
      <c r="C16" s="5" t="inlineStr">
        <is>
          <t>Real data replaces synthetic.</t>
        </is>
      </c>
      <c r="D16" s="5" t="inlineStr">
        <is>
          <t>4.8</t>
        </is>
      </c>
      <c r="E16" s="5" t="n"/>
      <c r="F16" s="5" t="inlineStr">
        <is>
          <t>Not started</t>
        </is>
      </c>
    </row>
    <row r="17" ht="24.85" customHeight="1">
      <c r="A17" s="4" t="inlineStr">
        <is>
          <t>12</t>
        </is>
      </c>
      <c r="B17" s="5" t="inlineStr">
        <is>
          <t>Future: orchestrator and five agents — the LLM explains, never computes</t>
        </is>
      </c>
      <c r="C17" s="5" t="inlineStr">
        <is>
          <t>The AgenticBus proper.</t>
        </is>
      </c>
      <c r="D17" s="5" t="inlineStr">
        <is>
          <t>4.1, 4.2</t>
        </is>
      </c>
      <c r="E17" s="5" t="n"/>
      <c r="F17" s="5" t="inlineStr">
        <is>
          <t>Not started</t>
        </is>
      </c>
    </row>
    <row r="19" ht="15.4" customHeight="1">
      <c r="A19" s="7" t="inlineStr">
        <is>
          <t>Component view — Now → Next → Future</t>
        </is>
      </c>
    </row>
    <row r="20">
      <c r="A20" s="3" t="inlineStr"/>
      <c r="B20" s="3" t="inlineStr">
        <is>
          <t>Component</t>
        </is>
      </c>
      <c r="C20" s="3" t="inlineStr">
        <is>
          <t>Now</t>
        </is>
      </c>
      <c r="D20" s="3" t="inlineStr">
        <is>
          <t>Next (trustworthy demo)</t>
        </is>
      </c>
      <c r="E20" s="3" t="inlineStr">
        <is>
          <t>Future (target)</t>
        </is>
      </c>
      <c r="F20" s="3" t="inlineStr">
        <is>
          <t>Plan step</t>
        </is>
      </c>
    </row>
    <row r="21" ht="24.85" customHeight="1">
      <c r="A21" s="5" t="n"/>
      <c r="B21" s="4" t="inlineStr">
        <is>
          <t>Source of figures</t>
        </is>
      </c>
      <c r="C21" s="5" t="inlineStr">
        <is>
          <t>Compiled into the bundle; 2 of 7 computed arrays wired</t>
        </is>
      </c>
      <c r="D21" s="5" t="inlineStr">
        <is>
          <t>PostgreSQL + metric registry</t>
        </is>
      </c>
      <c r="E21" s="5" t="inlineStr">
        <is>
          <t>Same, fed by real extracts</t>
        </is>
      </c>
      <c r="F21" s="5" t="inlineStr">
        <is>
          <t>3.1c, 3.8, 3.9</t>
        </is>
      </c>
    </row>
    <row r="22">
      <c r="A22" s="5" t="n"/>
      <c r="B22" s="4" t="inlineStr">
        <is>
          <t>API</t>
        </is>
      </c>
      <c r="C22" s="5" t="inlineStr">
        <is>
          <t>None</t>
        </is>
      </c>
      <c r="D22" s="5" t="inlineStr">
        <is>
          <t>FastAPI read API</t>
        </is>
      </c>
      <c r="E22" s="5" t="inlineStr">
        <is>
          <t>FastAPI gateway</t>
        </is>
      </c>
      <c r="F22" s="5" t="inlineStr">
        <is>
          <t>3.8</t>
        </is>
      </c>
    </row>
    <row r="23">
      <c r="A23" s="5" t="n"/>
      <c r="B23" s="4" t="inlineStr">
        <is>
          <t>Tabs</t>
        </is>
      </c>
      <c r="C23" s="5" t="inlineStr">
        <is>
          <t>12</t>
        </is>
      </c>
      <c r="D23" s="5" t="inlineStr">
        <is>
          <t>Consolidating to 5</t>
        </is>
      </c>
      <c r="E23" s="5" t="inlineStr">
        <is>
          <t>5 domain tabs</t>
        </is>
      </c>
      <c r="F23" s="5" t="inlineStr">
        <is>
          <t>3.7</t>
        </is>
      </c>
    </row>
    <row r="24">
      <c r="A24" s="5" t="n"/>
      <c r="B24" s="4" t="inlineStr">
        <is>
          <t>Decision loop</t>
        </is>
      </c>
      <c r="C24" s="5" t="inlineStr">
        <is>
          <t>Stops at approval buttons</t>
        </is>
      </c>
      <c r="D24" s="5" t="inlineStr">
        <is>
          <t>Approve → act</t>
        </is>
      </c>
      <c r="E24" s="5" t="inlineStr">
        <is>
          <t>Act → measure impact → learn</t>
        </is>
      </c>
      <c r="F24" s="5" t="inlineStr">
        <is>
          <t>2.1, 4.8</t>
        </is>
      </c>
    </row>
    <row r="25">
      <c r="A25" s="5" t="n"/>
      <c r="B25" s="4" t="inlineStr">
        <is>
          <t>Agents</t>
        </is>
      </c>
      <c r="C25" s="5" t="inlineStr">
        <is>
          <t>Keyword matching</t>
        </is>
      </c>
      <c r="D25" s="5" t="inlineStr">
        <is>
          <t>Unchanged</t>
        </is>
      </c>
      <c r="E25" s="5" t="inlineStr">
        <is>
          <t>Orchestrator + 5 agents</t>
        </is>
      </c>
      <c r="F25" s="5" t="inlineStr">
        <is>
          <t>4.1, 4.2</t>
        </is>
      </c>
    </row>
    <row r="26">
      <c r="A26" s="5" t="n"/>
      <c r="B26" s="4" t="inlineStr">
        <is>
          <t>LLM</t>
        </is>
      </c>
      <c r="C26" s="5" t="inlineStr">
        <is>
          <t>None</t>
        </is>
      </c>
      <c r="D26" s="5" t="inlineStr">
        <is>
          <t>None</t>
        </is>
      </c>
      <c r="E26" s="5" t="inlineStr">
        <is>
          <t>Explanation only, never arithmetic</t>
        </is>
      </c>
      <c r="F26" s="5" t="inlineStr">
        <is>
          <t>4.2</t>
        </is>
      </c>
    </row>
    <row r="27">
      <c r="A27" s="5" t="n"/>
      <c r="B27" s="4" t="inlineStr">
        <is>
          <t>Checks</t>
        </is>
      </c>
      <c r="C27" s="5" t="inlineStr">
        <is>
          <t>16 data checks; smoke on 9 of 12 tabs</t>
        </is>
      </c>
      <c r="D27" s="5" t="inlineStr">
        <is>
          <t>Both in CI; all tabs</t>
        </is>
      </c>
      <c r="E27" s="5" t="inlineStr">
        <is>
          <t>Plus data-quality gates</t>
        </is>
      </c>
      <c r="F27" s="5" t="inlineStr">
        <is>
          <t>4.3</t>
        </is>
      </c>
    </row>
    <row r="28">
      <c r="A28" s="5" t="n"/>
      <c r="B28" s="4" t="inlineStr">
        <is>
          <t>Hosting</t>
        </is>
      </c>
      <c r="C28" s="5" t="inlineStr">
        <is>
          <t>Static frontend on Vercel</t>
        </is>
      </c>
      <c r="D28" s="5" t="inlineStr">
        <is>
          <t>Plus API and database hosting</t>
        </is>
      </c>
      <c r="E28" s="5" t="inlineStr">
        <is>
          <t>Production hosting</t>
        </is>
      </c>
      <c r="F28" s="5" t="inlineStr">
        <is>
          <t>4.7</t>
        </is>
      </c>
    </row>
  </sheetData>
  <conditionalFormatting sqref="F6:F17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5">
      <formula>"Done"</formula>
    </cfRule>
  </conditionalFormatting>
  <dataValidations count="1">
    <dataValidation sqref="F6:F17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7F7F7F"/>
    <outlinePr summaryBelow="1" summaryRight="1"/>
    <pageSetUpPr/>
  </sheetPr>
  <dimension ref="A1:F19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5"/>
  <cols>
    <col width="6" customWidth="1" min="1" max="1"/>
    <col width="32" customWidth="1" min="2" max="2"/>
    <col width="36" customWidth="1" min="3" max="3"/>
    <col width="64" customWidth="1" min="4" max="4"/>
    <col width="40" customWidth="1" min="5" max="5"/>
    <col width="26" customWidth="1" min="6" max="6"/>
  </cols>
  <sheetData>
    <row r="1" ht="20.1" customHeight="1">
      <c r="A1" s="1" t="inlineStr">
        <is>
          <t>Research &amp; Data — what we learned</t>
        </is>
      </c>
    </row>
    <row r="2">
      <c r="A2" s="2" t="inlineStr">
        <is>
          <t>Our research and the team's, side by side. Light yellow = please complete.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Question it answered</t>
        </is>
      </c>
      <c r="D4" s="3" t="inlineStr">
        <is>
          <t>What we found</t>
        </is>
      </c>
      <c r="E4" s="3" t="inlineStr">
        <is>
          <t>What it changed</t>
        </is>
      </c>
      <c r="F4" s="3" t="inlineStr">
        <is>
          <t>Link</t>
        </is>
      </c>
    </row>
    <row r="5" ht="24.85" customHeight="1">
      <c r="A5" s="4" t="inlineStr">
        <is>
          <t>R1</t>
        </is>
      </c>
      <c r="B5" s="4" t="inlineStr">
        <is>
          <t>KT on the existing application</t>
        </is>
      </c>
      <c r="C5" s="5" t="inlineStr">
        <is>
          <t>What does the app do, for whom, from what data?</t>
        </is>
      </c>
      <c r="D5" s="5" t="inlineStr">
        <is>
          <t>3 personas, 12 tabs, 43 overlays; every figure hardcoded; no backend or database.</t>
        </is>
      </c>
      <c r="E5" s="5" t="inlineStr">
        <is>
          <t>Remediation before new features.</t>
        </is>
      </c>
      <c r="F5" s="5" t="n"/>
    </row>
    <row r="6">
      <c r="A6" s="4" t="inlineStr">
        <is>
          <t>R2</t>
        </is>
      </c>
      <c r="B6" s="4" t="inlineStr">
        <is>
          <t>Project blueprint and brief</t>
        </is>
      </c>
      <c r="C6" s="5" t="inlineStr">
        <is>
          <t>What does the brief require?</t>
        </is>
      </c>
      <c r="D6" s="5" t="inlineStr">
        <is>
          <t>Exactly 5 domain tabs, 6 required KPIs, 3 role lenses. Labs are GTM assets.</t>
        </is>
      </c>
      <c r="E6" s="5" t="inlineStr">
        <is>
          <t>Defined the target state.</t>
        </is>
      </c>
      <c r="F6" s="5" t="n"/>
    </row>
    <row r="7">
      <c r="A7" s="4" t="inlineStr">
        <is>
          <t>R3</t>
        </is>
      </c>
      <c r="B7" s="4" t="inlineStr">
        <is>
          <t>Report 1 · Metric Dictionary</t>
        </is>
      </c>
      <c r="C7" s="5" t="inlineStr">
        <is>
          <t>What does every number mean?</t>
        </is>
      </c>
      <c r="D7" s="5" t="inlineStr">
        <is>
          <t>2 of 6 required KPIs computed; revenue and margin each have two baselines.</t>
        </is>
      </c>
      <c r="E7" s="5" t="inlineStr">
        <is>
          <t>Metric integrity (3.1c); Q2–Q5.</t>
        </is>
      </c>
      <c r="F7" s="6" t="inlineStr">
        <is>
          <t>Report 1 (Google Doc)</t>
        </is>
      </c>
    </row>
    <row r="8" ht="24.85" customHeight="1">
      <c r="A8" s="4" t="inlineStr">
        <is>
          <t>R4</t>
        </is>
      </c>
      <c r="B8" s="4" t="inlineStr">
        <is>
          <t>Report 2 · Twelve Tabs to Five</t>
        </is>
      </c>
      <c r="C8" s="5" t="inlineStr">
        <is>
          <t>Is every tab worth keeping, per persona?</t>
        </is>
      </c>
      <c r="D8" s="5" t="inlineStr">
        <is>
          <t>12 tabs vs 5 required; duplicated persona views; PM may see the VP's launch view.</t>
        </is>
      </c>
      <c r="E8" s="5" t="inlineStr">
        <is>
          <t>Consolidation (3.7); Q7.</t>
        </is>
      </c>
      <c r="F8" s="6" t="inlineStr">
        <is>
          <t>Report 2 (Google Doc)</t>
        </is>
      </c>
    </row>
    <row r="9" ht="24.85" customHeight="1">
      <c r="A9" s="4" t="inlineStr">
        <is>
          <t>R5</t>
        </is>
      </c>
      <c r="B9" s="4" t="inlineStr">
        <is>
          <t>Report 3 · Worth Building?</t>
        </is>
      </c>
      <c r="C9" s="5" t="inlineStr">
        <is>
          <t>Who are the incumbents?</t>
        </is>
      </c>
      <c r="D9" s="5" t="inlineStr">
        <is>
          <t>Depends on positioning. Competing on data breadth is not winnable; on explainability it is.</t>
        </is>
      </c>
      <c r="E9" s="5" t="inlineStr">
        <is>
          <t>Q1.</t>
        </is>
      </c>
      <c r="F9" s="6" t="inlineStr">
        <is>
          <t>Report 3 (Google Doc)</t>
        </is>
      </c>
    </row>
    <row r="10" ht="24.85" customHeight="1">
      <c r="A10" s="4" t="inlineStr">
        <is>
          <t>R6</t>
        </is>
      </c>
      <c r="B10" s="4" t="inlineStr">
        <is>
          <t>Team review · Portfolio Health</t>
        </is>
      </c>
      <c r="C10" s="5" t="inlineStr">
        <is>
          <t>Does Portfolio Health support executive decisions?</t>
        </is>
      </c>
      <c r="D10" s="5" t="inlineStr">
        <is>
          <t>21 gaps: KPI hierarchy and targets, unexplained health score, no stage-specific actions, revenue that does not reconcile (Critical), no what-if, no closed loop.</t>
        </is>
      </c>
      <c r="E10" s="5" t="inlineStr">
        <is>
          <t>Requirements for 3.2; reconciliation → 3.1c.</t>
        </is>
      </c>
      <c r="F10" s="5" t="inlineStr">
        <is>
          <t>Gap Analysis tab</t>
        </is>
      </c>
    </row>
    <row r="11" ht="37.3" customHeight="1">
      <c r="A11" s="4" t="inlineStr">
        <is>
          <t>R7</t>
        </is>
      </c>
      <c r="B11" s="4" t="inlineStr">
        <is>
          <t>Team review · Launch Readiness</t>
        </is>
      </c>
      <c r="C11" s="5" t="inlineStr">
        <is>
          <t>Does Launch Readiness support a launch decision?</t>
        </is>
      </c>
      <c r="D11" s="5" t="inlineStr">
        <is>
          <t>15 gaps: a score without drivers, no GO / CONDITIONAL GO / NO-GO, milestones without dependencies, no multi-scenario comparison, no post-launch loop.</t>
        </is>
      </c>
      <c r="E11" s="5" t="inlineStr">
        <is>
          <t>Requirements for 3.3; decision rule → 2.5, Q13.</t>
        </is>
      </c>
      <c r="F11" s="5" t="inlineStr">
        <is>
          <t>Gap Analysis tab</t>
        </is>
      </c>
    </row>
    <row r="12" ht="37.3" customHeight="1">
      <c r="A12" s="4" t="inlineStr">
        <is>
          <t>R8</t>
        </is>
      </c>
      <c r="B12" s="4" t="inlineStr">
        <is>
          <t>Team · Persona × capability matrix</t>
        </is>
      </c>
      <c r="C12" s="5" t="inlineStr">
        <is>
          <t>Who is primary for which decision?</t>
        </is>
      </c>
      <c r="D12" s="5" t="inlineStr">
        <is>
          <t>VP primary for Portfolio Health, Profitability, Signals. PM primary for Launch Readiness, Profitability, SKU Rationalization, Signals. Pricing &amp; Margin primary for Profitability and SKU Rationalization.</t>
        </is>
      </c>
      <c r="E12" s="5" t="inlineStr">
        <is>
          <t>Evidence for Q7; the PM should get its own launch view.</t>
        </is>
      </c>
      <c r="F12" s="5" t="inlineStr">
        <is>
          <t>Personas &amp; Journey tab</t>
        </is>
      </c>
    </row>
    <row r="13" ht="24.85" customHeight="1">
      <c r="A13" s="4" t="inlineStr">
        <is>
          <t>R9</t>
        </is>
      </c>
      <c r="B13" s="4" t="inlineStr">
        <is>
          <t>Team · End-to-end decision journey</t>
        </is>
      </c>
      <c r="C13" s="5" t="inlineStr">
        <is>
          <t>How does a user move from signal to decision?</t>
        </is>
      </c>
      <c r="D13" s="5" t="inlineStr">
        <is>
          <t>Detect → diagnose (drill, root cause) → decide (Rationalization, Assortment, Launch) → simulate → approve → act → measure.</t>
        </is>
      </c>
      <c r="E13" s="5" t="inlineStr">
        <is>
          <t>Demo script (4.5); consolidation logic (3.7).</t>
        </is>
      </c>
      <c r="F13" s="5" t="inlineStr">
        <is>
          <t>Personas &amp; Journey tab</t>
        </is>
      </c>
    </row>
    <row r="14" ht="24.85" customHeight="1">
      <c r="A14" s="4" t="inlineStr">
        <is>
          <t>R10</t>
        </is>
      </c>
      <c r="B14" s="4" t="inlineStr">
        <is>
          <t>Team · PLM benchmark</t>
        </is>
      </c>
      <c r="C14" s="5" t="inlineStr">
        <is>
          <t>How does the product compare with PLM and portfolio tools?</t>
        </is>
      </c>
      <c r="D14" s="5" t="inlineStr">
        <is>
          <t>Five vendors; differentiation claimed in SKU rationalization, assortment and market signals.</t>
        </is>
      </c>
      <c r="E14" s="5" t="inlineStr">
        <is>
          <t>Complements Report 3; needs verified sources before external use.</t>
        </is>
      </c>
      <c r="F14" s="5" t="inlineStr">
        <is>
          <t>Benchmark tab</t>
        </is>
      </c>
    </row>
    <row r="15" ht="24.85" customHeight="1">
      <c r="A15" s="4" t="inlineStr">
        <is>
          <t>R11</t>
        </is>
      </c>
      <c r="B15" s="4" t="inlineStr">
        <is>
          <t>Dataset search</t>
        </is>
      </c>
      <c r="C15" s="5" t="inlineStr">
        <is>
          <t>Is there a transaction-level dataset we can use?</t>
        </is>
      </c>
      <c r="D15" s="5" t="inlineStr">
        <is>
          <t>No — only aggregate outputs of a notebook analysis.</t>
        </is>
      </c>
      <c r="E15" s="5" t="inlineStr">
        <is>
          <t>Generate our own (D1).</t>
        </is>
      </c>
      <c r="F15" s="5" t="n"/>
    </row>
    <row r="16" ht="24.85" customHeight="1">
      <c r="A16" s="4" t="inlineStr">
        <is>
          <t>R12</t>
        </is>
      </c>
      <c r="B16" s="4" t="inlineStr">
        <is>
          <t>Other data sources reviewed</t>
        </is>
      </c>
      <c r="C16" s="5" t="inlineStr">
        <is>
          <t>What else did we look at, and why did it fall short?</t>
        </is>
      </c>
      <c r="D16" s="10" t="n"/>
      <c r="E16" s="10" t="n"/>
      <c r="F16" s="5" t="n"/>
    </row>
    <row r="17" ht="24.85" customHeight="1">
      <c r="A17" s="4" t="inlineStr">
        <is>
          <t>R13</t>
        </is>
      </c>
      <c r="B17" s="4" t="inlineStr">
        <is>
          <t>Synthetic dataset</t>
        </is>
      </c>
      <c r="C17" s="5" t="inlineStr">
        <is>
          <t>Can we reproduce the known findings?</t>
        </is>
      </c>
      <c r="D17" s="5" t="inlineStr">
        <is>
          <t>119 SKUs × 7 countries × 4 channels × 731 days; 368,013 rows; seeded (20260909).</t>
        </is>
      </c>
      <c r="E17" s="5" t="inlineStr">
        <is>
          <t>A real data spine.</t>
        </is>
      </c>
      <c r="F17" s="5" t="n"/>
    </row>
    <row r="18" ht="24.85" customHeight="1">
      <c r="A18" s="4" t="inlineStr">
        <is>
          <t>R14</t>
        </is>
      </c>
      <c r="B18" s="4" t="inlineStr">
        <is>
          <t>Validation</t>
        </is>
      </c>
      <c r="C18" s="5" t="inlineStr">
        <is>
          <t>Does it match the source?</t>
        </is>
      </c>
      <c r="D18" s="5" t="inlineStr">
        <is>
          <t>16 of 16 targets met: $473.0M net sales, +8.29% growth, 38.55% margin — confirmed after loading.</t>
        </is>
      </c>
      <c r="E18" s="5" t="inlineStr">
        <is>
          <t>Confidence.</t>
        </is>
      </c>
      <c r="F18" s="5" t="n"/>
    </row>
    <row r="19" ht="24.85" customHeight="1">
      <c r="A19" s="4" t="inlineStr">
        <is>
          <t>R15</t>
        </is>
      </c>
      <c r="B19" s="4" t="inlineStr">
        <is>
          <t>Known data gaps</t>
        </is>
      </c>
      <c r="C19" s="5" t="inlineStr">
        <is>
          <t>What can the data not support yet?</t>
        </is>
      </c>
      <c r="D19" s="5" t="inlineStr">
        <is>
          <t>No launch dates (0 of 119); no opex; Netherlands margin inverted; no competitor or VoC feed.</t>
        </is>
      </c>
      <c r="E19" s="5" t="inlineStr">
        <is>
          <t>Q3, Q4, Q6, Q11.</t>
        </is>
      </c>
      <c r="F19" s="5" t="n"/>
    </row>
  </sheetData>
  <hyperlinks>
    <hyperlink xmlns:r="http://schemas.openxmlformats.org/officeDocument/2006/relationships" ref="F7" display="Report 1 (Google Doc)" r:id="rId1"/>
    <hyperlink xmlns:r="http://schemas.openxmlformats.org/officeDocument/2006/relationships" ref="F8" display="Report 2 (Google Doc)" r:id="rId2"/>
    <hyperlink xmlns:r="http://schemas.openxmlformats.org/officeDocument/2006/relationships" ref="F9" display="Report 3 (Google Doc)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F7F7F"/>
    <outlinePr summaryBelow="1" summaryRight="1"/>
    <pageSetUpPr/>
  </sheetPr>
  <dimension ref="A1:G19"/>
  <sheetViews>
    <sheetView showGridLines="0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5"/>
  <cols>
    <col width="6" customWidth="1" min="1" max="1"/>
    <col width="22" customWidth="1" min="2" max="2"/>
    <col width="58" customWidth="1" min="3" max="3"/>
    <col width="22" customWidth="1" min="4" max="4"/>
    <col width="34" customWidth="1" min="5" max="5"/>
    <col width="42" customWidth="1" min="6" max="6"/>
    <col width="14" customWidth="1" min="7" max="7"/>
  </cols>
  <sheetData>
    <row r="1" ht="20.1" customHeight="1">
      <c r="A1" s="1" t="inlineStr">
        <is>
          <t>Handover Findings — the condition of what we received</t>
        </is>
      </c>
    </row>
    <row r="2">
      <c r="A2" s="2" t="inlineStr">
        <is>
          <t>Measured, not estimated. Doubles as the agenda for reverse KT (M5).</t>
        </is>
      </c>
    </row>
    <row r="4">
      <c r="A4" s="3" t="inlineStr">
        <is>
          <t>#</t>
        </is>
      </c>
      <c r="B4" s="3" t="inlineStr">
        <is>
          <t>Area</t>
        </is>
      </c>
      <c r="C4" s="3" t="inlineStr">
        <is>
          <t>What we found</t>
        </is>
      </c>
      <c r="D4" s="3" t="inlineStr">
        <is>
          <t>Evidence</t>
        </is>
      </c>
      <c r="E4" s="3" t="inlineStr">
        <is>
          <t>Why it mattered</t>
        </is>
      </c>
      <c r="F4" s="3" t="inlineStr">
        <is>
          <t>What we did</t>
        </is>
      </c>
      <c r="G4" s="3" t="inlineStr">
        <is>
          <t>Status</t>
        </is>
      </c>
    </row>
    <row r="5" ht="24.85" customHeight="1">
      <c r="A5" s="4" t="inlineStr">
        <is>
          <t>H1</t>
        </is>
      </c>
      <c r="B5" s="4" t="inlineStr">
        <is>
          <t>Repository hygiene</t>
        </is>
      </c>
      <c r="C5" s="5" t="inlineStr">
        <is>
          <t>144 tracked files in the root — scratch scripts, text dumps, duplicated HTML and PDF — plus .gemini/ (38) and extracted_tabs/ (6).</t>
        </is>
      </c>
      <c r="D5" s="5" t="inlineStr">
        <is>
          <t>git ls-files</t>
        </is>
      </c>
      <c r="E5" s="5" t="inlineStr">
        <is>
          <t>Hard to tell product code from debris.</t>
        </is>
      </c>
      <c r="F5" s="5" t="inlineStr">
        <is>
          <t>187 files removed; the root holds 10 tracked files.</t>
        </is>
      </c>
      <c r="G5" s="5" t="inlineStr">
        <is>
          <t>Done</t>
        </is>
      </c>
    </row>
    <row r="6">
      <c r="A6" s="4" t="inlineStr">
        <is>
          <t>H2</t>
        </is>
      </c>
      <c r="B6" s="4" t="inlineStr">
        <is>
          <t>Oversized files</t>
        </is>
      </c>
      <c r="C6" s="5" t="inlineStr">
        <is>
          <t>Nine component files totalling 22,619 lines; the largest 3,981.</t>
        </is>
      </c>
      <c r="D6" s="5" t="inlineStr">
        <is>
          <t>Line counts</t>
        </is>
      </c>
      <c r="E6" s="5" t="inlineStr">
        <is>
          <t>Slow to change and easy to break.</t>
        </is>
      </c>
      <c r="F6" s="5" t="inlineStr">
        <is>
          <t>Split into 30 modules, 11,854 lines (−47%).</t>
        </is>
      </c>
      <c r="G6" s="5" t="inlineStr">
        <is>
          <t>Done</t>
        </is>
      </c>
    </row>
    <row r="7" ht="24.85" customHeight="1">
      <c r="A7" s="4" t="inlineStr">
        <is>
          <t>H3</t>
        </is>
      </c>
      <c r="B7" s="4" t="inlineStr">
        <is>
          <t>Dead code</t>
        </is>
      </c>
      <c r="C7" s="5" t="inlineStr">
        <is>
          <t>About 3,500 lines never executed, including PortfolioHealthMapOld (1,289) and 10 orphaned components.</t>
        </is>
      </c>
      <c r="D7" s="5" t="inlineStr">
        <is>
          <t>Import graph</t>
        </is>
      </c>
      <c r="E7" s="5" t="inlineStr">
        <is>
          <t>Misled an early audit of what each persona sees.</t>
        </is>
      </c>
      <c r="F7" s="5" t="inlineStr">
        <is>
          <t>Removed.</t>
        </is>
      </c>
      <c r="G7" s="5" t="inlineStr">
        <is>
          <t>Done</t>
        </is>
      </c>
    </row>
    <row r="8">
      <c r="A8" s="4" t="inlineStr">
        <is>
          <t>H4</t>
        </is>
      </c>
      <c r="B8" s="4" t="inlineStr">
        <is>
          <t>Styling defects</t>
        </is>
      </c>
      <c r="C8" s="5" t="inlineStr">
        <is>
          <t>1,237 invalid Tailwind colour classes across 63 files.</t>
        </is>
      </c>
      <c r="D8" s="5" t="inlineStr">
        <is>
          <t>Commit, 1 Sep</t>
        </is>
      </c>
      <c r="E8" s="5" t="inlineStr">
        <is>
          <t>Colours silently not applied.</t>
        </is>
      </c>
      <c r="F8" s="5" t="inlineStr">
        <is>
          <t>Fixed.</t>
        </is>
      </c>
      <c r="G8" s="5" t="inlineStr">
        <is>
          <t>Done</t>
        </is>
      </c>
    </row>
    <row r="9">
      <c r="A9" s="4" t="inlineStr">
        <is>
          <t>H5</t>
        </is>
      </c>
      <c r="B9" s="4" t="inlineStr">
        <is>
          <t>Type safety</t>
        </is>
      </c>
      <c r="C9" s="5" t="inlineStr">
        <is>
          <t>Type checking had been bypassed.</t>
        </is>
      </c>
      <c r="D9" s="5" t="inlineStr">
        <is>
          <t>Commit, 1 Sep</t>
        </is>
      </c>
      <c r="E9" s="5" t="inlineStr">
        <is>
          <t>Errors surfaced only at runtime.</t>
        </is>
      </c>
      <c r="F9" s="5" t="inlineStr">
        <is>
          <t>Restored.</t>
        </is>
      </c>
      <c r="G9" s="5" t="inlineStr">
        <is>
          <t>Done</t>
        </is>
      </c>
    </row>
    <row r="10" ht="24.85" customHeight="1">
      <c r="A10" s="4" t="inlineStr">
        <is>
          <t>H6</t>
        </is>
      </c>
      <c r="B10" s="4" t="inlineStr">
        <is>
          <t>No data layer</t>
        </is>
      </c>
      <c r="C10" s="5" t="inlineStr">
        <is>
          <t>No dataset, database or API; every figure hardcoded.</t>
        </is>
      </c>
      <c r="D10" s="5" t="inlineStr">
        <is>
          <t>Zero network calls in src/</t>
        </is>
      </c>
      <c r="E10" s="5" t="inlineStr">
        <is>
          <t>Numbers could not be audited or refreshed.</t>
        </is>
      </c>
      <c r="F10" s="5" t="inlineStr">
        <is>
          <t>Dataset generated and loaded; API not yet built.</t>
        </is>
      </c>
      <c r="G10" s="5" t="inlineStr">
        <is>
          <t>In progress</t>
        </is>
      </c>
    </row>
    <row r="11" ht="24.85" customHeight="1">
      <c r="A11" s="4" t="inlineStr">
        <is>
          <t>H7</t>
        </is>
      </c>
      <c r="B11" s="4" t="inlineStr">
        <is>
          <t>Missing source data</t>
        </is>
      </c>
      <c r="C11" s="5" t="inlineStr">
        <is>
          <t>Original figures came from a notebook analysis; no transaction-level data was handed over.</t>
        </is>
      </c>
      <c r="D11" s="5" t="inlineStr">
        <is>
          <t>Comments in data.ts</t>
        </is>
      </c>
      <c r="E11" s="5" t="inlineStr">
        <is>
          <t>Metrics could not be computed or checked.</t>
        </is>
      </c>
      <c r="F11" s="5" t="inlineStr">
        <is>
          <t>Built a calibrated synthetic dataset.</t>
        </is>
      </c>
      <c r="G11" s="5" t="inlineStr">
        <is>
          <t>Done</t>
        </is>
      </c>
    </row>
    <row r="12" ht="24.85" customHeight="1">
      <c r="A12" s="4" t="inlineStr">
        <is>
          <t>H8</t>
        </is>
      </c>
      <c r="B12" s="4" t="inlineStr">
        <is>
          <t>Conflicting figures</t>
        </is>
      </c>
      <c r="C12" s="5" t="inlineStr">
        <is>
          <t>Revenue $473M vs $851M; margin 38.55% vs 36.2%; rationalize candidates 46 vs 35; tail risk 15.79% vs 27.08%.</t>
        </is>
      </c>
      <c r="D12" s="5" t="inlineStr">
        <is>
          <t>Report 1</t>
        </is>
      </c>
      <c r="E12" s="5" t="inlineStr">
        <is>
          <t>Undermines credibility in a demo.</t>
        </is>
      </c>
      <c r="F12" s="5" t="inlineStr">
        <is>
          <t>Diagnosed; fix planned (3.1c).</t>
        </is>
      </c>
      <c r="G12" s="5" t="inlineStr">
        <is>
          <t>Open</t>
        </is>
      </c>
    </row>
    <row r="13" ht="24.85" customHeight="1">
      <c r="A13" s="4" t="inlineStr">
        <is>
          <t>H9</t>
        </is>
      </c>
      <c r="B13" s="4" t="inlineStr">
        <is>
          <t>Designed but empty metrics</t>
        </is>
      </c>
      <c r="C13" s="5" t="inlineStr">
        <is>
          <t>20 metric labels styled; only 8 have a value.</t>
        </is>
      </c>
      <c r="D13" s="5" t="inlineStr">
        <is>
          <t>KPICard.tsx vs data.ts</t>
        </is>
      </c>
      <c r="E13" s="5" t="inlineStr">
        <is>
          <t>Empty KPI strips on four tabs.</t>
        </is>
      </c>
      <c r="F13" s="5" t="inlineStr">
        <is>
          <t>Planned (3.1c).</t>
        </is>
      </c>
      <c r="G13" s="5" t="inlineStr">
        <is>
          <t>Open</t>
        </is>
      </c>
    </row>
    <row r="14">
      <c r="A14" s="4" t="inlineStr">
        <is>
          <t>H10</t>
        </is>
      </c>
      <c r="B14" s="4" t="inlineStr">
        <is>
          <t>Navigation overload</t>
        </is>
      </c>
      <c r="C14" s="5" t="inlineStr">
        <is>
          <t>12 tabs against a brief requiring 5; VP and standard duplicates.</t>
        </is>
      </c>
      <c r="D14" s="5" t="inlineStr">
        <is>
          <t>Report 2</t>
        </is>
      </c>
      <c r="E14" s="5" t="inlineStr">
        <is>
          <t>Brief not met.</t>
        </is>
      </c>
      <c r="F14" s="5" t="inlineStr">
        <is>
          <t>Consolidation planned (3.7).</t>
        </is>
      </c>
      <c r="G14" s="5" t="inlineStr">
        <is>
          <t>Open</t>
        </is>
      </c>
    </row>
    <row r="15">
      <c r="A15" s="4" t="inlineStr">
        <is>
          <t>H11</t>
        </is>
      </c>
      <c r="B15" s="4" t="inlineStr">
        <is>
          <t>Simulated AI</t>
        </is>
      </c>
      <c r="C15" s="5" t="inlineStr">
        <is>
          <t>The agent widget matches keywords and simulates typing.</t>
        </is>
      </c>
      <c r="D15" s="5" t="inlineStr">
        <is>
          <t>Agent widget code</t>
        </is>
      </c>
      <c r="E15" s="5" t="inlineStr">
        <is>
          <t>The demo implies AI it does not perform.</t>
        </is>
      </c>
      <c r="F15" s="5" t="inlineStr">
        <is>
          <t>Planned (4.2).</t>
        </is>
      </c>
      <c r="G15" s="5" t="inlineStr">
        <is>
          <t>Open</t>
        </is>
      </c>
    </row>
    <row r="16" ht="24.85" customHeight="1">
      <c r="A16" s="4" t="inlineStr">
        <is>
          <t>H12</t>
        </is>
      </c>
      <c r="B16" s="4" t="inlineStr">
        <is>
          <t>Dead backend and unused dependencies</t>
        </is>
      </c>
      <c r="C16" s="5" t="inlineStr">
        <is>
          <t>Express server nothing started; unused packages; vite declared twice.</t>
        </is>
      </c>
      <c r="D16" s="5" t="inlineStr">
        <is>
          <t>package.json</t>
        </is>
      </c>
      <c r="E16" s="5" t="inlineStr">
        <is>
          <t>Confused the architecture.</t>
        </is>
      </c>
      <c r="F16" s="5" t="inlineStr">
        <is>
          <t>Removed; backend decided as Python / FastAPI.</t>
        </is>
      </c>
      <c r="G16" s="5" t="inlineStr">
        <is>
          <t>Done</t>
        </is>
      </c>
    </row>
    <row r="17" ht="24.85" customHeight="1">
      <c r="A17" s="4" t="inlineStr">
        <is>
          <t>H13</t>
        </is>
      </c>
      <c r="B17" s="4" t="inlineStr">
        <is>
          <t>Real brands in demo data</t>
        </is>
      </c>
      <c r="C17" s="5" t="inlineStr">
        <is>
          <t>Seven real brands in the SKU list; PepsiCo brands in the pricing simulator.</t>
        </is>
      </c>
      <c r="D17" s="5" t="inlineStr">
        <is>
          <t>Database; SignalsBoard.tsx</t>
        </is>
      </c>
      <c r="E17" s="5" t="inlineStr">
        <is>
          <t>Trademark exposure.</t>
        </is>
      </c>
      <c r="F17" s="5" t="inlineStr">
        <is>
          <t>Planned (3.1d).</t>
        </is>
      </c>
      <c r="G17" s="5" t="inlineStr">
        <is>
          <t>Open</t>
        </is>
      </c>
    </row>
    <row r="18">
      <c r="A18" s="4" t="inlineStr">
        <is>
          <t>H14</t>
        </is>
      </c>
      <c r="B18" s="4" t="inlineStr">
        <is>
          <t>Stale documentation</t>
        </is>
      </c>
      <c r="C18" s="5" t="inlineStr">
        <is>
          <t>SKU count given as 102, 100, 120 and 240+; the real figure is 119.</t>
        </is>
      </c>
      <c r="D18" s="5" t="inlineStr">
        <is>
          <t>Documents</t>
        </is>
      </c>
      <c r="E18" s="5" t="inlineStr">
        <is>
          <t>Wrong numbers get repeated.</t>
        </is>
      </c>
      <c r="F18" s="5" t="inlineStr">
        <is>
          <t>Corrected in CLAUDE.md.</t>
        </is>
      </c>
      <c r="G18" s="5" t="inlineStr">
        <is>
          <t>Open</t>
        </is>
      </c>
    </row>
    <row r="19" ht="37.3" customHeight="1">
      <c r="A19" s="4" t="inlineStr">
        <is>
          <t>H15</t>
        </is>
      </c>
      <c r="B19" s="4" t="inlineStr">
        <is>
          <t>Revenue units bug</t>
        </is>
      </c>
      <c r="C19" s="5" t="inlineStr">
        <is>
          <t>The lifecycle panel sums each SKU's 'rev' field and labels it $M: ~$10,592M against $473M actual.</t>
        </is>
      </c>
      <c r="D19" s="5" t="inlineStr">
        <is>
          <t>LifecycleHealthPanel.tsx:100 — found by the team's review</t>
        </is>
      </c>
      <c r="E19" s="5" t="inlineStr">
        <is>
          <t>Executives see revenue about 22× too high.</t>
        </is>
      </c>
      <c r="F19" s="5" t="inlineStr">
        <is>
          <t>Confirmed 22 Sep; fix planned (3.1c).</t>
        </is>
      </c>
      <c r="G19" s="5" t="inlineStr">
        <is>
          <t>Open</t>
        </is>
      </c>
    </row>
  </sheetData>
  <conditionalFormatting sqref="G5:G19">
    <cfRule type="cellIs" priority="1" operator="equal" dxfId="5">
      <formula>"Done"</formula>
    </cfRule>
    <cfRule type="cellIs" priority="2" operator="equal" dxfId="1">
      <formula>"In progress"</formula>
    </cfRule>
    <cfRule type="cellIs" priority="3" operator="equal" dxfId="4">
      <formula>"Open"</formula>
    </cfRule>
  </conditionalFormatting>
  <dataValidations count="1">
    <dataValidation sqref="G5:G19" showDropDown="0" showInputMessage="0" showErrorMessage="0" allowBlank="1" type="list">
      <formula1>"Done,In progress,Open"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7F7F7F"/>
    <outlinePr summaryBelow="1" summaryRight="1"/>
    <pageSetUpPr/>
  </sheetPr>
  <dimension ref="A1:E25"/>
  <sheetViews>
    <sheetView showGridLines="0" workbookViewId="0">
      <pane ySplit="4" topLeftCell="A5" activePane="bottomLeft" state="frozen"/>
      <selection activeCell="A1" sqref="A1"/>
      <selection pane="bottomLeft" activeCell="A1" sqref="A1"/>
    </sheetView>
  </sheetViews>
  <sheetFormatPr baseColWidth="8" defaultColWidth="9" defaultRowHeight="14.55"/>
  <cols>
    <col width="22" customWidth="1" min="1" max="2"/>
    <col width="38" customWidth="1" min="3" max="3"/>
    <col width="80" customWidth="1" min="4" max="4"/>
    <col width="24" customWidth="1" min="5" max="5"/>
  </cols>
  <sheetData>
    <row r="1" ht="20.1" customHeight="1">
      <c r="A1" s="1" t="inlineStr">
        <is>
          <t>Timeline — from handover to today</t>
        </is>
      </c>
    </row>
    <row r="2">
      <c r="A2" s="2" t="inlineStr">
        <is>
          <t>Reconstructed from git history and project files. Light yellow = please confirm.</t>
        </is>
      </c>
    </row>
    <row r="4">
      <c r="A4" s="3" t="inlineStr">
        <is>
          <t>When</t>
        </is>
      </c>
      <c r="B4" s="3" t="inlineStr">
        <is>
          <t>Stage</t>
        </is>
      </c>
      <c r="C4" s="3" t="inlineStr">
        <is>
          <t>Event</t>
        </is>
      </c>
      <c r="D4" s="3" t="inlineStr">
        <is>
          <t>Detail</t>
        </is>
      </c>
      <c r="E4" s="3" t="inlineStr">
        <is>
          <t>Source</t>
        </is>
      </c>
    </row>
    <row r="5">
      <c r="A5" s="5" t="inlineStr">
        <is>
          <t>18 May 2026</t>
        </is>
      </c>
      <c r="B5" s="5" t="inlineStr">
        <is>
          <t>Build — previous team</t>
        </is>
      </c>
      <c r="C5" s="4" t="inlineStr">
        <is>
          <t>Repository started</t>
        </is>
      </c>
      <c r="D5" s="5" t="inlineStr">
        <is>
          <t>First commit by acies-Jai.</t>
        </is>
      </c>
      <c r="E5" s="5" t="inlineStr">
        <is>
          <t>git log</t>
        </is>
      </c>
    </row>
    <row r="6">
      <c r="A6" s="5" t="inlineStr">
        <is>
          <t>18 May – 27 Jul 2026</t>
        </is>
      </c>
      <c r="B6" s="5" t="inlineStr">
        <is>
          <t>Build — previous team</t>
        </is>
      </c>
      <c r="C6" s="4" t="inlineStr">
        <is>
          <t>Application built</t>
        </is>
      </c>
      <c r="D6" s="5" t="inlineStr">
        <is>
          <t>369 commits from four contributors: Amita (149), SreeVyshnavi (143), acies-Jai (72), Jaiadithya A (5).</t>
        </is>
      </c>
      <c r="E6" s="5" t="inlineStr">
        <is>
          <t>git log</t>
        </is>
      </c>
    </row>
    <row r="7">
      <c r="A7" s="5" t="inlineStr">
        <is>
          <t>16 Jun 2026</t>
        </is>
      </c>
      <c r="B7" s="5" t="inlineStr">
        <is>
          <t>Build — previous team</t>
        </is>
      </c>
      <c r="C7" s="4" t="inlineStr">
        <is>
          <t>A replaced view is left in the code</t>
        </is>
      </c>
      <c r="D7" s="5" t="inlineStr">
        <is>
          <t>PortfolioHealthMapOld becomes unreachable but stays in a live file — 1,289 dead lines until 20 Sep.</t>
        </is>
      </c>
      <c r="E7" s="5" t="inlineStr">
        <is>
          <t>Code history</t>
        </is>
      </c>
    </row>
    <row r="8">
      <c r="A8" s="5" t="inlineStr">
        <is>
          <t>22 Jun 2026</t>
        </is>
      </c>
      <c r="B8" s="5" t="inlineStr">
        <is>
          <t>Build — previous team</t>
        </is>
      </c>
      <c r="C8" s="4" t="inlineStr">
        <is>
          <t>Figures switched to US dollars</t>
        </is>
      </c>
      <c r="D8" s="5" t="inlineStr">
        <is>
          <t>'Currency conversion to dollars' (Amita).</t>
        </is>
      </c>
      <c r="E8" s="5" t="inlineStr">
        <is>
          <t>git log</t>
        </is>
      </c>
    </row>
    <row r="9">
      <c r="A9" s="5" t="inlineStr">
        <is>
          <t>13 Jul 2026</t>
        </is>
      </c>
      <c r="B9" s="5" t="inlineStr">
        <is>
          <t>Build — previous team</t>
        </is>
      </c>
      <c r="C9" s="4" t="inlineStr">
        <is>
          <t>Real brands added to the SKU list</t>
        </is>
      </c>
      <c r="D9" s="5" t="inlineStr">
        <is>
          <t>Sprite, Coca-Cola, Thums Up, 'Foorti', Pulpy Orange, 5-Star and Munch in one commit.</t>
        </is>
      </c>
      <c r="E9" s="5" t="inlineStr">
        <is>
          <t>git log</t>
        </is>
      </c>
    </row>
    <row r="10">
      <c r="A10" s="5" t="inlineStr">
        <is>
          <t>24 Jul 2026</t>
        </is>
      </c>
      <c r="B10" s="5" t="inlineStr">
        <is>
          <t>Build — previous team</t>
        </is>
      </c>
      <c r="C10" s="4" t="inlineStr">
        <is>
          <t>Competitor tracker and PricingAI console</t>
        </is>
      </c>
      <c r="D10" s="5" t="inlineStr">
        <is>
          <t>Adds a Pepsi / Mountain Dew price-elasticity simulator to the Signals Board.</t>
        </is>
      </c>
      <c r="E10" s="5" t="inlineStr">
        <is>
          <t>git log</t>
        </is>
      </c>
    </row>
    <row r="11">
      <c r="A11" s="5" t="inlineStr">
        <is>
          <t>27 Jul 2026</t>
        </is>
      </c>
      <c r="B11" s="5" t="inlineStr">
        <is>
          <t>Handover</t>
        </is>
      </c>
      <c r="C11" s="4" t="inlineStr">
        <is>
          <t>Last commit by the previous team</t>
        </is>
      </c>
      <c r="D11" s="5" t="inlineStr">
        <is>
          <t>—</t>
        </is>
      </c>
      <c r="E11" s="5" t="inlineStr">
        <is>
          <t>git log</t>
        </is>
      </c>
    </row>
    <row r="12">
      <c r="A12" s="5" t="inlineStr">
        <is>
          <t>27 Jul – 1 Sep 2026</t>
        </is>
      </c>
      <c r="B12" s="5" t="inlineStr">
        <is>
          <t>Handover</t>
        </is>
      </c>
      <c r="C12" s="4" t="inlineStr">
        <is>
          <t>Repository idle</t>
        </is>
      </c>
      <c r="D12" s="5" t="inlineStr">
        <is>
          <t>No commits for five weeks.</t>
        </is>
      </c>
      <c r="E12" s="5" t="inlineStr">
        <is>
          <t>git log</t>
        </is>
      </c>
    </row>
    <row r="13">
      <c r="A13" s="10" t="n"/>
      <c r="B13" s="5" t="inlineStr">
        <is>
          <t>KT</t>
        </is>
      </c>
      <c r="C13" s="4" t="inlineStr">
        <is>
          <t>One week of knowledge transfer</t>
        </is>
      </c>
      <c r="D13" s="5" t="inlineStr">
        <is>
          <t>Enter the dates in column A.</t>
        </is>
      </c>
      <c r="E13" s="5" t="inlineStr">
        <is>
          <t>Confirm</t>
        </is>
      </c>
    </row>
    <row r="14" ht="24.85" customHeight="1">
      <c r="A14" s="5" t="inlineStr">
        <is>
          <t>1 Sep 2026</t>
        </is>
      </c>
      <c r="B14" s="5" t="inlineStr">
        <is>
          <t>Remediation</t>
        </is>
      </c>
      <c r="C14" s="4" t="inlineStr">
        <is>
          <t>Current team's first commits</t>
        </is>
      </c>
      <c r="D14" s="5" t="inlineStr">
        <is>
          <t>Type checking restored; bundle split; 1,237 invalid colour classes fixed; 43 overlays moved onto shared components.</t>
        </is>
      </c>
      <c r="E14" s="5" t="inlineStr">
        <is>
          <t>3 commits</t>
        </is>
      </c>
    </row>
    <row r="15">
      <c r="A15" s="5" t="inlineStr">
        <is>
          <t>3 Sep 2026</t>
        </is>
      </c>
      <c r="B15" s="5" t="inlineStr">
        <is>
          <t>Initiation</t>
        </is>
      </c>
      <c r="C15" s="4" t="inlineStr">
        <is>
          <t>Project start (per team tracker)</t>
        </is>
      </c>
      <c r="D15" s="5" t="inlineStr">
        <is>
          <t>Team tracker records 20 planned working days — a placeholder.</t>
        </is>
      </c>
      <c r="E15" s="5" t="inlineStr">
        <is>
          <t>Team tracker</t>
        </is>
      </c>
    </row>
    <row r="16">
      <c r="A16" s="5" t="inlineStr">
        <is>
          <t>~9 Sep 2026</t>
        </is>
      </c>
      <c r="B16" s="5" t="inlineStr">
        <is>
          <t>Data</t>
        </is>
      </c>
      <c r="C16" s="4" t="inlineStr">
        <is>
          <t>Dataset search comes up short</t>
        </is>
      </c>
      <c r="D16" s="5" t="inlineStr">
        <is>
          <t>Only aggregate outputs of a notebook analysis were available. Decision to generate our own (D1).</t>
        </is>
      </c>
      <c r="E16" s="5" t="inlineStr">
        <is>
          <t>Research &amp; Data tab</t>
        </is>
      </c>
    </row>
    <row r="17">
      <c r="A17" s="5" t="inlineStr">
        <is>
          <t>14 Sep 2026</t>
        </is>
      </c>
      <c r="B17" s="5" t="inlineStr">
        <is>
          <t>Data</t>
        </is>
      </c>
      <c r="C17" s="4" t="inlineStr">
        <is>
          <t>Synthetic dataset generated and validated</t>
        </is>
      </c>
      <c r="D17" s="5" t="inlineStr">
        <is>
          <t>119 SKUs, 368,013 fact rows, 16 of 16 targets met.</t>
        </is>
      </c>
      <c r="E17" s="5" t="inlineStr">
        <is>
          <t>Commit a3a3c54</t>
        </is>
      </c>
    </row>
    <row r="18">
      <c r="A18" s="5" t="inlineStr">
        <is>
          <t>17 Sep 2026</t>
        </is>
      </c>
      <c r="B18" s="5" t="inlineStr">
        <is>
          <t>Research</t>
        </is>
      </c>
      <c r="C18" s="4" t="inlineStr">
        <is>
          <t>Three feasibility reports published</t>
        </is>
      </c>
      <c r="D18" s="5" t="inlineStr">
        <is>
          <t>Metric Dictionary · Twelve Tabs to Five · Worth Building?</t>
        </is>
      </c>
      <c r="E18" s="5" t="inlineStr">
        <is>
          <t>Links tab</t>
        </is>
      </c>
    </row>
    <row r="19" ht="24.85" customHeight="1">
      <c r="A19" s="5" t="inlineStr">
        <is>
          <t>20 Sep 2026</t>
        </is>
      </c>
      <c r="B19" s="5" t="inlineStr">
        <is>
          <t>Remediation</t>
        </is>
      </c>
      <c r="C19" s="4" t="inlineStr">
        <is>
          <t>Codebase clean-up completed</t>
        </is>
      </c>
      <c r="D19" s="5" t="inlineStr">
        <is>
          <t>187 files removed; nine oversized files split into 30 modules; Express server and 124 npm packages removed.</t>
        </is>
      </c>
      <c r="E19" s="5" t="inlineStr">
        <is>
          <t>TODO.md</t>
        </is>
      </c>
    </row>
    <row r="20">
      <c r="A20" s="5" t="inlineStr">
        <is>
          <t>20 Sep 2026</t>
        </is>
      </c>
      <c r="B20" s="5" t="inlineStr">
        <is>
          <t>Architecture</t>
        </is>
      </c>
      <c r="C20" s="4" t="inlineStr">
        <is>
          <t>Current → target architecture drawn</t>
        </is>
      </c>
      <c r="D20" s="5" t="inlineStr">
        <is>
          <t>Backend confirmed as Python / FastAPI.</t>
        </is>
      </c>
      <c r="E20" s="5" t="inlineStr">
        <is>
          <t>system_architecture.md</t>
        </is>
      </c>
    </row>
    <row r="21">
      <c r="A21" s="5" t="inlineStr">
        <is>
          <t>20 Sep 2026</t>
        </is>
      </c>
      <c r="B21" s="5" t="inlineStr">
        <is>
          <t>Data</t>
        </is>
      </c>
      <c r="C21" s="4" t="inlineStr">
        <is>
          <t>PostgreSQL warehouse live</t>
        </is>
      </c>
      <c r="D21" s="5" t="inlineStr">
        <is>
          <t>377,364 rows; reconciles to $473.0M, +8.29%, 38.55%.</t>
        </is>
      </c>
      <c r="E21" s="5" t="inlineStr">
        <is>
          <t>Research &amp; Data tab</t>
        </is>
      </c>
    </row>
    <row r="22">
      <c r="A22" s="5" t="inlineStr">
        <is>
          <t>21 Sep 2026</t>
        </is>
      </c>
      <c r="B22" s="5" t="inlineStr">
        <is>
          <t>Alignment</t>
        </is>
      </c>
      <c r="C22" s="4" t="inlineStr">
        <is>
          <t>Stakeholder questions drafted</t>
        </is>
      </c>
      <c r="D22" s="5" t="inlineStr">
        <is>
          <t>12 open questions, each with a recommendation and a default.</t>
        </is>
      </c>
      <c r="E22" s="5" t="inlineStr">
        <is>
          <t>documentation/pitch.md</t>
        </is>
      </c>
    </row>
    <row r="23" ht="24.85" customHeight="1">
      <c r="A23" s="5" t="inlineStr">
        <is>
          <t>22 Sep 2026</t>
        </is>
      </c>
      <c r="B23" s="5" t="inlineStr">
        <is>
          <t>Tracking</t>
        </is>
      </c>
      <c r="C23" s="4" t="inlineStr">
        <is>
          <t>Team tracker reviewed; plans merged</t>
        </is>
      </c>
      <c r="D23" s="5" t="inlineStr">
        <is>
          <t>The team's P1–P4 plan, gap analyses and persona work merged into this tracker. Lifecycle revenue bug confirmed. Deadline confirmed as not yet set.</t>
        </is>
      </c>
      <c r="E23" s="5" t="inlineStr">
        <is>
          <t>This tracker</t>
        </is>
      </c>
    </row>
    <row r="24" ht="37.3" customHeight="1">
      <c r="A24" s="5" t="inlineStr">
        <is>
          <t>23 Sep 2026</t>
        </is>
      </c>
      <c r="B24" s="5" t="inlineStr">
        <is>
          <t>Frontend</t>
        </is>
      </c>
      <c r="C24" s="4" t="inlineStr">
        <is>
          <t>Persona-specific sidebar ordering prototyped</t>
        </is>
      </c>
      <c r="D24" s="5" t="inlineStr">
        <is>
          <t>Sidebar order now differs per role, sourced from the persona matrix; verified on all three roles by screenshot. Found and logged a real bug: role does not update from a hashchange after first load. Not committed.</t>
        </is>
      </c>
      <c r="E24" s="5" t="inlineStr">
        <is>
          <t>App.tsx; TODO.md O10</t>
        </is>
      </c>
    </row>
    <row r="25" ht="37.3" customHeight="1">
      <c r="A25" s="5" t="inlineStr">
        <is>
          <t>23 Sep 2026</t>
        </is>
      </c>
      <c r="B25" s="5" t="inlineStr">
        <is>
          <t>Metric integrity</t>
        </is>
      </c>
      <c r="C25" s="4" t="inlineStr">
        <is>
          <t>Every formula in the app catalogued</t>
        </is>
      </c>
      <c r="D25" s="5" t="inlineStr">
        <is>
          <t>Python generator, SQL, and all 9 frontend tabs -- each formula marked real / real-formula-fake-input / fabricated. New finding: the timeline selector fabricates variance on every figure, including the two KPI-strip metrics previously thought genuinely computed.</t>
        </is>
      </c>
      <c r="E25" s="5" t="inlineStr">
        <is>
          <t>documentation/formulas.md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2E75B6"/>
    <outlinePr summaryBelow="1" summaryRight="1"/>
    <pageSetUpPr/>
  </sheetPr>
  <dimension ref="A1:G25"/>
  <sheetViews>
    <sheetView showGridLines="0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5"/>
  <cols>
    <col width="28" customWidth="1" min="1" max="1"/>
    <col width="22" customWidth="1" min="2" max="2"/>
    <col width="16" customWidth="1" min="3" max="5"/>
    <col width="20" customWidth="1" min="6" max="7"/>
  </cols>
  <sheetData>
    <row r="1" ht="20.1" customHeight="1">
      <c r="A1" s="1" t="inlineStr">
        <is>
          <t>Competitive Benchmark — PLM / PPM vendors (team research)</t>
        </is>
      </c>
    </row>
    <row r="2">
      <c r="A2" s="2" t="inlineStr">
        <is>
          <t>Carried verbatim. Complements Report 3, which compares against FMCG intelligence vendors. Read the caveats before using it outside the team.</t>
        </is>
      </c>
    </row>
    <row r="4">
      <c r="A4" s="3" t="inlineStr">
        <is>
          <t>Capability</t>
        </is>
      </c>
      <c r="B4" s="3" t="inlineStr">
        <is>
          <t>Our product</t>
        </is>
      </c>
      <c r="C4" s="3" t="inlineStr">
        <is>
          <t>Planview</t>
        </is>
      </c>
      <c r="D4" s="3" t="inlineStr">
        <is>
          <t>Oracle PLM</t>
        </is>
      </c>
      <c r="E4" s="3" t="inlineStr">
        <is>
          <t>SAP PLM</t>
        </is>
      </c>
      <c r="F4" s="3" t="inlineStr">
        <is>
          <t>Siemens Teamcenter</t>
        </is>
      </c>
      <c r="G4" s="3" t="inlineStr">
        <is>
          <t>Salsify</t>
        </is>
      </c>
    </row>
    <row r="5">
      <c r="A5" s="4" t="inlineStr">
        <is>
          <t>Product lifecycle</t>
        </is>
      </c>
      <c r="B5" s="5" t="inlineStr">
        <is>
          <t>✅</t>
        </is>
      </c>
      <c r="C5" s="5" t="inlineStr">
        <is>
          <t>✅</t>
        </is>
      </c>
      <c r="D5" s="5" t="inlineStr">
        <is>
          <t>✅</t>
        </is>
      </c>
      <c r="E5" s="5" t="inlineStr">
        <is>
          <t>✅</t>
        </is>
      </c>
      <c r="F5" s="5" t="inlineStr">
        <is>
          <t>Strong</t>
        </is>
      </c>
      <c r="G5" s="5" t="inlineStr">
        <is>
          <t>Partial</t>
        </is>
      </c>
    </row>
    <row r="6">
      <c r="A6" s="4" t="inlineStr">
        <is>
          <t>Portfolio health</t>
        </is>
      </c>
      <c r="B6" s="5" t="inlineStr">
        <is>
          <t>Strong potential</t>
        </is>
      </c>
      <c r="C6" s="5" t="inlineStr">
        <is>
          <t>Strong</t>
        </is>
      </c>
      <c r="D6" s="5" t="inlineStr">
        <is>
          <t>✅</t>
        </is>
      </c>
      <c r="E6" s="5" t="inlineStr">
        <is>
          <t>✅</t>
        </is>
      </c>
      <c r="F6" s="5" t="inlineStr">
        <is>
          <t>Partial</t>
        </is>
      </c>
      <c r="G6" s="5" t="inlineStr">
        <is>
          <t>Partial</t>
        </is>
      </c>
    </row>
    <row r="7">
      <c r="A7" s="4" t="inlineStr">
        <is>
          <t>Product launch</t>
        </is>
      </c>
      <c r="B7" s="5" t="inlineStr">
        <is>
          <t>Strong</t>
        </is>
      </c>
      <c r="C7" s="5" t="inlineStr">
        <is>
          <t>Strong</t>
        </is>
      </c>
      <c r="D7" s="5" t="inlineStr">
        <is>
          <t>Strong</t>
        </is>
      </c>
      <c r="E7" s="5" t="inlineStr">
        <is>
          <t>✅</t>
        </is>
      </c>
      <c r="F7" s="5" t="inlineStr">
        <is>
          <t>✅</t>
        </is>
      </c>
      <c r="G7" s="5" t="inlineStr">
        <is>
          <t>Strong</t>
        </is>
      </c>
    </row>
    <row r="8">
      <c r="A8" s="4" t="inlineStr">
        <is>
          <t>Profitability</t>
        </is>
      </c>
      <c r="B8" s="5" t="inlineStr">
        <is>
          <t>Strong potential</t>
        </is>
      </c>
      <c r="C8" s="5" t="inlineStr">
        <is>
          <t>✅</t>
        </is>
      </c>
      <c r="D8" s="5" t="inlineStr">
        <is>
          <t>✅</t>
        </is>
      </c>
      <c r="E8" s="5" t="inlineStr">
        <is>
          <t>Strong</t>
        </is>
      </c>
      <c r="F8" s="5" t="inlineStr">
        <is>
          <t>✅</t>
        </is>
      </c>
      <c r="G8" s="5" t="inlineStr">
        <is>
          <t>Limited</t>
        </is>
      </c>
    </row>
    <row r="9">
      <c r="A9" s="4" t="inlineStr">
        <is>
          <t>SKU rationalization</t>
        </is>
      </c>
      <c r="B9" s="5" t="inlineStr">
        <is>
          <t>Core</t>
        </is>
      </c>
      <c r="C9" s="5" t="inlineStr">
        <is>
          <t>Partial</t>
        </is>
      </c>
      <c r="D9" s="5" t="inlineStr">
        <is>
          <t>Partial</t>
        </is>
      </c>
      <c r="E9" s="5" t="inlineStr">
        <is>
          <t>Partial</t>
        </is>
      </c>
      <c r="F9" s="5" t="inlineStr">
        <is>
          <t>Partial</t>
        </is>
      </c>
      <c r="G9" s="5" t="inlineStr">
        <is>
          <t>Partial</t>
        </is>
      </c>
    </row>
    <row r="10">
      <c r="A10" s="4" t="inlineStr">
        <is>
          <t>SKU assortment</t>
        </is>
      </c>
      <c r="B10" s="5" t="inlineStr">
        <is>
          <t>Core</t>
        </is>
      </c>
      <c r="C10" s="5" t="inlineStr">
        <is>
          <t>Partial</t>
        </is>
      </c>
      <c r="D10" s="5" t="inlineStr">
        <is>
          <t>Partial</t>
        </is>
      </c>
      <c r="E10" s="5" t="inlineStr">
        <is>
          <t>Partial</t>
        </is>
      </c>
      <c r="F10" s="5" t="inlineStr">
        <is>
          <t>Partial</t>
        </is>
      </c>
      <c r="G10" s="5" t="inlineStr">
        <is>
          <t>Strong-ish</t>
        </is>
      </c>
    </row>
    <row r="11">
      <c r="A11" s="4" t="inlineStr">
        <is>
          <t>Scenario simulation</t>
        </is>
      </c>
      <c r="B11" s="5" t="inlineStr">
        <is>
          <t>Existing</t>
        </is>
      </c>
      <c r="C11" s="5" t="inlineStr">
        <is>
          <t>Strong</t>
        </is>
      </c>
      <c r="D11" s="5" t="inlineStr">
        <is>
          <t>✅</t>
        </is>
      </c>
      <c r="E11" s="5" t="inlineStr">
        <is>
          <t>Strong in costing</t>
        </is>
      </c>
      <c r="F11" s="5" t="inlineStr">
        <is>
          <t>Partial</t>
        </is>
      </c>
      <c r="G11" s="5" t="inlineStr">
        <is>
          <t>Partial</t>
        </is>
      </c>
    </row>
    <row r="12">
      <c r="A12" s="4" t="inlineStr">
        <is>
          <t>Market/VoC signals</t>
        </is>
      </c>
      <c r="B12" s="5" t="inlineStr">
        <is>
          <t>Core</t>
        </is>
      </c>
      <c r="C12" s="5" t="inlineStr">
        <is>
          <t>Partial</t>
        </is>
      </c>
      <c r="D12" s="5" t="inlineStr">
        <is>
          <t>Partial</t>
        </is>
      </c>
      <c r="E12" s="5" t="inlineStr">
        <is>
          <t>Partial</t>
        </is>
      </c>
      <c r="F12" s="5" t="inlineStr">
        <is>
          <t>Partial</t>
        </is>
      </c>
      <c r="G12" s="5" t="inlineStr">
        <is>
          <t>Strong for digital shelf</t>
        </is>
      </c>
    </row>
    <row r="13">
      <c r="A13" s="4" t="inlineStr">
        <is>
          <t>AI recommendations</t>
        </is>
      </c>
      <c r="B13" s="5" t="inlineStr">
        <is>
          <t>Agent Orchestrator</t>
        </is>
      </c>
      <c r="C13" s="5" t="inlineStr">
        <is>
          <t>AI</t>
        </is>
      </c>
      <c r="D13" s="5" t="inlineStr">
        <is>
          <t>AI</t>
        </is>
      </c>
      <c r="E13" s="5" t="inlineStr">
        <is>
          <t>AI</t>
        </is>
      </c>
      <c r="F13" s="5" t="inlineStr">
        <is>
          <t>AI</t>
        </is>
      </c>
      <c r="G13" s="5" t="inlineStr">
        <is>
          <t>AI</t>
        </is>
      </c>
    </row>
    <row r="14">
      <c r="A14" s="4" t="inlineStr">
        <is>
          <t>Executive decision cockpit</t>
        </is>
      </c>
      <c r="B14" s="5" t="inlineStr">
        <is>
          <t>Strong potential</t>
        </is>
      </c>
      <c r="C14" s="5" t="inlineStr">
        <is>
          <t>Strong</t>
        </is>
      </c>
      <c r="D14" s="5" t="inlineStr">
        <is>
          <t>Strong</t>
        </is>
      </c>
      <c r="E14" s="5" t="inlineStr">
        <is>
          <t>Strong</t>
        </is>
      </c>
      <c r="F14" s="5" t="inlineStr">
        <is>
          <t>Partial</t>
        </is>
      </c>
      <c r="G14" s="5" t="inlineStr">
        <is>
          <t>Partial</t>
        </is>
      </c>
    </row>
    <row r="15">
      <c r="A15" s="4" t="inlineStr">
        <is>
          <t>Supply-chain integration</t>
        </is>
      </c>
      <c r="B15" s="5" t="inlineStr">
        <is>
          <t>Potential differentiator</t>
        </is>
      </c>
      <c r="C15" s="5" t="inlineStr">
        <is>
          <t>Partial</t>
        </is>
      </c>
      <c r="D15" s="5" t="inlineStr">
        <is>
          <t>Strong</t>
        </is>
      </c>
      <c r="E15" s="5" t="inlineStr">
        <is>
          <t>Strong</t>
        </is>
      </c>
      <c r="F15" s="5" t="inlineStr">
        <is>
          <t>Strong</t>
        </is>
      </c>
      <c r="G15" s="5" t="inlineStr">
        <is>
          <t>Integration</t>
        </is>
      </c>
    </row>
    <row r="16">
      <c r="A16" s="4" t="inlineStr">
        <is>
          <t>Engineering/PLM depth</t>
        </is>
      </c>
      <c r="B16" s="5" t="inlineStr">
        <is>
          <t>Limited</t>
        </is>
      </c>
      <c r="C16" s="5" t="inlineStr">
        <is>
          <t>Limited</t>
        </is>
      </c>
      <c r="D16" s="5" t="inlineStr">
        <is>
          <t>Strong</t>
        </is>
      </c>
      <c r="E16" s="5" t="inlineStr">
        <is>
          <t>Strong</t>
        </is>
      </c>
      <c r="F16" s="5" t="inlineStr">
        <is>
          <t>Very strong</t>
        </is>
      </c>
      <c r="G16" s="5" t="inlineStr">
        <is>
          <t>Limited</t>
        </is>
      </c>
    </row>
    <row r="18" ht="15.4" customHeight="1">
      <c r="A18" s="7" t="inlineStr">
        <is>
          <t>Caveats</t>
        </is>
      </c>
    </row>
    <row r="19">
      <c r="A19" s="4" t="inlineStr">
        <is>
          <t>•</t>
        </is>
      </c>
      <c r="B19" s="5" t="inlineStr">
        <is>
          <t>Full PLM engineering is out of scope for this product (Overview → Scope), yet four of the five comparators are PLM systems.</t>
        </is>
      </c>
      <c r="C19" s="8" t="n"/>
      <c r="D19" s="8" t="n"/>
      <c r="E19" s="8" t="n"/>
      <c r="F19" s="8" t="n"/>
      <c r="G19" s="9" t="n"/>
    </row>
    <row r="20">
      <c r="A20" s="4" t="inlineStr">
        <is>
          <t>•</t>
        </is>
      </c>
      <c r="B20" s="5" t="inlineStr">
        <is>
          <t>Our product is rated on potential ('Strong potential', 'Core'); competitors on current capability — not like-for-like.</t>
        </is>
      </c>
      <c r="C20" s="8" t="n"/>
      <c r="D20" s="8" t="n"/>
      <c r="E20" s="8" t="n"/>
      <c r="F20" s="8" t="n"/>
      <c r="G20" s="9" t="n"/>
    </row>
    <row r="21">
      <c r="A21" s="4" t="inlineStr">
        <is>
          <t>•</t>
        </is>
      </c>
      <c r="B21" s="5" t="inlineStr">
        <is>
          <t>Three rating scales are mixed (✅ / Strong / Partial). The 'AI recommendations' row reads 'AI' for everyone.</t>
        </is>
      </c>
      <c r="C21" s="8" t="n"/>
      <c r="D21" s="8" t="n"/>
      <c r="E21" s="8" t="n"/>
      <c r="F21" s="8" t="n"/>
      <c r="G21" s="9" t="n"/>
    </row>
    <row r="22">
      <c r="A22" s="4" t="inlineStr">
        <is>
          <t>•</t>
        </is>
      </c>
      <c r="B22" s="5" t="inlineStr">
        <is>
          <t>Sources are vendor product pages. The Planview link points to Oracle's PLM page; Salsify has no source.</t>
        </is>
      </c>
      <c r="C22" s="8" t="n"/>
      <c r="D22" s="8" t="n"/>
      <c r="E22" s="8" t="n"/>
      <c r="F22" s="8" t="n"/>
      <c r="G22" s="9" t="n"/>
    </row>
    <row r="24" ht="15.4" customHeight="1">
      <c r="A24" s="7" t="inlineStr">
        <is>
          <t>Positioning (team's diagram)</t>
        </is>
      </c>
    </row>
    <row r="25">
      <c r="A25" s="4" t="inlineStr">
        <is>
          <t>Product lifecycle</t>
        </is>
      </c>
      <c r="B25" s="5" t="inlineStr">
        <is>
          <t>PLM (Siemens Teamcenter, SAP PLM, Oracle PLM) and portfolio management (Planview, Oracle) → Product Lifecycle &amp; Portfolio Intelligence → Portfolio Health · Profitability · SKU Rationalization · Launch Readiness · Cost / Risk · SKU Assortment → Signals / AI agents → Decision / recommendation.</t>
        </is>
      </c>
      <c r="C25" s="8" t="n"/>
      <c r="D25" s="8" t="n"/>
      <c r="E25" s="8" t="n"/>
      <c r="F25" s="8" t="n"/>
      <c r="G25" s="9" t="n"/>
    </row>
  </sheetData>
  <mergeCells count="5">
    <mergeCell ref="B19:G19"/>
    <mergeCell ref="B20:G20"/>
    <mergeCell ref="B22:G22"/>
    <mergeCell ref="B21:G21"/>
    <mergeCell ref="B25:G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F7F7F"/>
    <outlinePr summaryBelow="1" summaryRight="1"/>
    <pageSetUpPr/>
  </sheetPr>
  <dimension ref="A1:F22"/>
  <sheetViews>
    <sheetView showGridLines="0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5"/>
  <cols>
    <col width="42" customWidth="1" min="1" max="1"/>
    <col width="50" customWidth="1" min="2" max="2"/>
    <col width="14" customWidth="1" min="3" max="3"/>
    <col width="44" customWidth="1" min="4" max="4"/>
    <col width="30" customWidth="1" min="5" max="5"/>
    <col width="20" customWidth="1" min="6" max="6"/>
  </cols>
  <sheetData>
    <row r="1" ht="20.1" customHeight="1">
      <c r="A1" s="1" t="inlineStr">
        <is>
          <t>Links — every document, repository and the live demo</t>
        </is>
      </c>
    </row>
    <row r="2">
      <c r="A2" s="2" t="inlineStr">
        <is>
          <t>'In git?' matters: an untracked or gitignored file is lost on a fresh clone.</t>
        </is>
      </c>
    </row>
    <row r="4">
      <c r="A4" s="3" t="inlineStr">
        <is>
          <t>Document</t>
        </is>
      </c>
      <c r="B4" s="3" t="inlineStr">
        <is>
          <t>What it covers</t>
        </is>
      </c>
      <c r="C4" s="3" t="inlineStr">
        <is>
          <t>Date</t>
        </is>
      </c>
      <c r="D4" s="3" t="inlineStr">
        <is>
          <t>Link / location</t>
        </is>
      </c>
      <c r="E4" s="3" t="inlineStr">
        <is>
          <t>Also at</t>
        </is>
      </c>
      <c r="F4" s="3" t="inlineStr">
        <is>
          <t>In git?</t>
        </is>
      </c>
    </row>
    <row r="5">
      <c r="A5" s="4" t="inlineStr">
        <is>
          <t>Report 1 · Metric Dictionary</t>
        </is>
      </c>
      <c r="B5" s="5" t="inlineStr">
        <is>
          <t>Every metric defined</t>
        </is>
      </c>
      <c r="C5" s="5" t="inlineStr">
        <is>
          <t>17 Sep 2026</t>
        </is>
      </c>
      <c r="D5" s="6" t="inlineStr">
        <is>
          <t>Google Doc</t>
        </is>
      </c>
      <c r="E5" s="6" t="inlineStr">
        <is>
          <t>Artifact</t>
        </is>
      </c>
      <c r="F5" s="5" t="inlineStr">
        <is>
          <t>No</t>
        </is>
      </c>
    </row>
    <row r="6">
      <c r="A6" s="4" t="inlineStr">
        <is>
          <t>Report 2 · Twelve Tabs to Five</t>
        </is>
      </c>
      <c r="B6" s="5" t="inlineStr">
        <is>
          <t>Per-persona tab audit</t>
        </is>
      </c>
      <c r="C6" s="5" t="inlineStr">
        <is>
          <t>17 Sep 2026</t>
        </is>
      </c>
      <c r="D6" s="6" t="inlineStr">
        <is>
          <t>Google Doc</t>
        </is>
      </c>
      <c r="E6" s="6" t="inlineStr">
        <is>
          <t>Artifact</t>
        </is>
      </c>
      <c r="F6" s="5" t="inlineStr">
        <is>
          <t>No</t>
        </is>
      </c>
    </row>
    <row r="7">
      <c r="A7" s="4" t="inlineStr">
        <is>
          <t>Report 3 · Worth Building?</t>
        </is>
      </c>
      <c r="B7" s="5" t="inlineStr">
        <is>
          <t>Competitive landscape</t>
        </is>
      </c>
      <c r="C7" s="5" t="inlineStr">
        <is>
          <t>17 Sep 2026</t>
        </is>
      </c>
      <c r="D7" s="6" t="inlineStr">
        <is>
          <t>Google Doc</t>
        </is>
      </c>
      <c r="E7" s="6" t="inlineStr">
        <is>
          <t>Artifact</t>
        </is>
      </c>
      <c r="F7" s="5" t="inlineStr">
        <is>
          <t>No</t>
        </is>
      </c>
    </row>
    <row r="8">
      <c r="A8" s="4" t="inlineStr">
        <is>
          <t>Reports folder</t>
        </is>
      </c>
      <c r="B8" s="5" t="inlineStr">
        <is>
          <t>Acies Portfolio Lab — Reports</t>
        </is>
      </c>
      <c r="C8" s="5" t="inlineStr">
        <is>
          <t>—</t>
        </is>
      </c>
      <c r="D8" s="6" t="inlineStr">
        <is>
          <t>Google Drive folder</t>
        </is>
      </c>
      <c r="E8" s="5" t="n"/>
      <c r="F8" s="5" t="inlineStr">
        <is>
          <t>No</t>
        </is>
      </c>
    </row>
    <row r="9" ht="24.85" customHeight="1">
      <c r="A9" s="4" t="inlineStr">
        <is>
          <t>Team tracker</t>
        </is>
      </c>
      <c r="B9" s="5" t="inlineStr">
        <is>
          <t>Source of P1–P4, gap analyses, persona matrix, benchmark</t>
        </is>
      </c>
      <c r="C9" s="5" t="inlineStr">
        <is>
          <t>22 Sep 2026</t>
        </is>
      </c>
      <c r="D9" s="5" t="inlineStr">
        <is>
          <t>Research_doc/Product_Lifecycle_Portfolio_Intelligence_Project_Tracker 1.xlsx</t>
        </is>
      </c>
      <c r="E9" s="5" t="n"/>
      <c r="F9" s="5" t="inlineStr">
        <is>
          <t>Not yet committed</t>
        </is>
      </c>
    </row>
    <row r="10">
      <c r="A10" s="4" t="inlineStr">
        <is>
          <t>Decision journey (Miro)</t>
        </is>
      </c>
      <c r="B10" s="5" t="inlineStr">
        <is>
          <t>End-to-end user decision flow</t>
        </is>
      </c>
      <c r="C10" s="5" t="inlineStr">
        <is>
          <t>—</t>
        </is>
      </c>
      <c r="D10" s="6" t="inlineStr">
        <is>
          <t>Miro board</t>
        </is>
      </c>
      <c r="E10" s="5" t="n"/>
      <c r="F10" s="5" t="inlineStr">
        <is>
          <t>—</t>
        </is>
      </c>
    </row>
    <row r="11">
      <c r="A11" s="4" t="inlineStr">
        <is>
          <t>Build brief</t>
        </is>
      </c>
      <c r="B11" s="5" t="inlineStr">
        <is>
          <t>What exists, tech stack</t>
        </is>
      </c>
      <c r="C11" s="5" t="inlineStr">
        <is>
          <t>Sep 2026</t>
        </is>
      </c>
      <c r="D11" s="6" t="inlineStr">
        <is>
          <t>Artifact</t>
        </is>
      </c>
      <c r="E11" s="5" t="n"/>
      <c r="F11" s="5" t="inlineStr">
        <is>
          <t>No</t>
        </is>
      </c>
    </row>
    <row r="12">
      <c r="A12" s="4" t="inlineStr">
        <is>
          <t>Data model</t>
        </is>
      </c>
      <c r="B12" s="5" t="inlineStr">
        <is>
          <t>Tables, columns, keys</t>
        </is>
      </c>
      <c r="C12" s="5" t="inlineStr">
        <is>
          <t>Sep 2026</t>
        </is>
      </c>
      <c r="D12" s="6" t="inlineStr">
        <is>
          <t>Artifact</t>
        </is>
      </c>
      <c r="E12" s="5" t="n"/>
      <c r="F12" s="5" t="inlineStr">
        <is>
          <t>No</t>
        </is>
      </c>
    </row>
    <row r="13">
      <c r="A13" s="4" t="inlineStr">
        <is>
          <t>Validation</t>
        </is>
      </c>
      <c r="B13" s="5" t="inlineStr">
        <is>
          <t>Dataset validation results</t>
        </is>
      </c>
      <c r="C13" s="5" t="inlineStr">
        <is>
          <t>Sep 2026</t>
        </is>
      </c>
      <c r="D13" s="6" t="inlineStr">
        <is>
          <t>Artifact</t>
        </is>
      </c>
      <c r="E13" s="5" t="n"/>
      <c r="F13" s="5" t="inlineStr">
        <is>
          <t>No</t>
        </is>
      </c>
    </row>
    <row r="14">
      <c r="A14" s="4" t="inlineStr">
        <is>
          <t>Stakeholder pitch</t>
        </is>
      </c>
      <c r="B14" s="5" t="inlineStr">
        <is>
          <t>Reports and open questions</t>
        </is>
      </c>
      <c r="C14" s="5" t="inlineStr">
        <is>
          <t>21 Sep 2026</t>
        </is>
      </c>
      <c r="D14" s="5" t="inlineStr">
        <is>
          <t>documentation/pitch.md</t>
        </is>
      </c>
      <c r="E14" s="5" t="n"/>
      <c r="F14" s="5" t="inlineStr">
        <is>
          <t>Not yet committed</t>
        </is>
      </c>
    </row>
    <row r="15">
      <c r="A15" s="4" t="inlineStr">
        <is>
          <t>System architecture</t>
        </is>
      </c>
      <c r="B15" s="5" t="inlineStr">
        <is>
          <t>Now / Next / Future diagrams</t>
        </is>
      </c>
      <c r="C15" s="5" t="inlineStr">
        <is>
          <t>20 Sep 2026</t>
        </is>
      </c>
      <c r="D15" s="5" t="inlineStr">
        <is>
          <t>documentation/system_architecture.md</t>
        </is>
      </c>
      <c r="E15" s="5" t="n"/>
      <c r="F15" s="5" t="inlineStr">
        <is>
          <t>Gitignored</t>
        </is>
      </c>
    </row>
    <row r="16">
      <c r="A16" s="4" t="inlineStr">
        <is>
          <t>Data model specification</t>
        </is>
      </c>
      <c r="B16" s="5" t="inlineStr">
        <is>
          <t>13 tables, types, keys</t>
        </is>
      </c>
      <c r="C16" s="5" t="inlineStr">
        <is>
          <t>14 Sep 2026</t>
        </is>
      </c>
      <c r="D16" s="5" t="inlineStr">
        <is>
          <t>documentation/data_model_specification.md</t>
        </is>
      </c>
      <c r="E16" s="5" t="n"/>
      <c r="F16" s="5" t="inlineStr">
        <is>
          <t>Yes</t>
        </is>
      </c>
    </row>
    <row r="17" ht="24.85" customHeight="1">
      <c r="A17" s="4" t="inlineStr">
        <is>
          <t>Project blueprint</t>
        </is>
      </c>
      <c r="B17" s="5" t="inlineStr">
        <is>
          <t>Original research brief</t>
        </is>
      </c>
      <c r="C17" s="5" t="inlineStr">
        <is>
          <t>—</t>
        </is>
      </c>
      <c r="D17" s="5" t="inlineStr">
        <is>
          <t>Research_doc/Acies AgenticBus_ Product Lifecycle and Portfolio Intelligence Project Blueprint.docx</t>
        </is>
      </c>
      <c r="E17" s="5" t="n"/>
      <c r="F17" s="5" t="inlineStr">
        <is>
          <t>Yes</t>
        </is>
      </c>
    </row>
    <row r="18">
      <c r="A18" s="4" t="inlineStr">
        <is>
          <t>CLAUDE.md</t>
        </is>
      </c>
      <c r="B18" s="5" t="inlineStr">
        <is>
          <t>Guidance for AI-assisted development</t>
        </is>
      </c>
      <c r="C18" s="5" t="inlineStr">
        <is>
          <t>20 Sep 2026</t>
        </is>
      </c>
      <c r="D18" s="5" t="inlineStr">
        <is>
          <t>CLAUDE.md</t>
        </is>
      </c>
      <c r="E18" s="5" t="n"/>
      <c r="F18" s="5" t="inlineStr">
        <is>
          <t>Not yet committed</t>
        </is>
      </c>
    </row>
    <row r="19">
      <c r="A19" s="4" t="inlineStr">
        <is>
          <t>TODO.md</t>
        </is>
      </c>
      <c r="B19" s="5" t="inlineStr">
        <is>
          <t>Engineering work log</t>
        </is>
      </c>
      <c r="C19" s="5" t="inlineStr">
        <is>
          <t>Live</t>
        </is>
      </c>
      <c r="D19" s="5" t="inlineStr">
        <is>
          <t>TODO.md</t>
        </is>
      </c>
      <c r="E19" s="5" t="n"/>
      <c r="F19" s="5" t="inlineStr">
        <is>
          <t>Gitignored</t>
        </is>
      </c>
    </row>
    <row r="20">
      <c r="A20" s="4" t="inlineStr">
        <is>
          <t>Live demo</t>
        </is>
      </c>
      <c r="B20" s="5" t="inlineStr">
        <is>
          <t>Deployed frontend</t>
        </is>
      </c>
      <c r="C20" s="5" t="inlineStr">
        <is>
          <t>Live</t>
        </is>
      </c>
      <c r="D20" s="6" t="inlineStr">
        <is>
          <t>Vercel</t>
        </is>
      </c>
      <c r="E20" s="5" t="n"/>
      <c r="F20" s="5" t="inlineStr">
        <is>
          <t>—</t>
        </is>
      </c>
    </row>
    <row r="21">
      <c r="A21" s="4" t="inlineStr">
        <is>
          <t>Repository (working fork)</t>
        </is>
      </c>
      <c r="B21" s="5" t="inlineStr">
        <is>
          <t>Branch_G</t>
        </is>
      </c>
      <c r="C21" s="5" t="inlineStr">
        <is>
          <t>Live</t>
        </is>
      </c>
      <c r="D21" s="6" t="inlineStr">
        <is>
          <t>GitHub</t>
        </is>
      </c>
      <c r="E21" s="5" t="n"/>
      <c r="F21" s="5" t="inlineStr">
        <is>
          <t>—</t>
        </is>
      </c>
    </row>
    <row r="22">
      <c r="A22" s="4" t="inlineStr">
        <is>
          <t>Repository (upstream)</t>
        </is>
      </c>
      <c r="B22" s="5" t="inlineStr">
        <is>
          <t>Previous team's repository</t>
        </is>
      </c>
      <c r="C22" s="5" t="inlineStr">
        <is>
          <t>Live</t>
        </is>
      </c>
      <c r="D22" s="6" t="inlineStr">
        <is>
          <t>GitHub</t>
        </is>
      </c>
      <c r="E22" s="5" t="n"/>
      <c r="F22" s="5" t="inlineStr">
        <is>
          <t>—</t>
        </is>
      </c>
    </row>
  </sheetData>
  <hyperlinks>
    <hyperlink xmlns:r="http://schemas.openxmlformats.org/officeDocument/2006/relationships" ref="D5" display="Google Doc" r:id="rId1"/>
    <hyperlink xmlns:r="http://schemas.openxmlformats.org/officeDocument/2006/relationships" ref="E5" display="Artifact" r:id="rId2"/>
    <hyperlink xmlns:r="http://schemas.openxmlformats.org/officeDocument/2006/relationships" ref="D6" display="Google Doc" r:id="rId3"/>
    <hyperlink xmlns:r="http://schemas.openxmlformats.org/officeDocument/2006/relationships" ref="E6" display="Artifact" r:id="rId4"/>
    <hyperlink xmlns:r="http://schemas.openxmlformats.org/officeDocument/2006/relationships" ref="D7" display="Google Doc" r:id="rId5"/>
    <hyperlink xmlns:r="http://schemas.openxmlformats.org/officeDocument/2006/relationships" ref="E7" display="Artifact" r:id="rId6"/>
    <hyperlink xmlns:r="http://schemas.openxmlformats.org/officeDocument/2006/relationships" ref="D8" display="Google Drive folder" r:id="rId7"/>
    <hyperlink xmlns:r="http://schemas.openxmlformats.org/officeDocument/2006/relationships" ref="D10" display="Miro board" r:id="rId8"/>
    <hyperlink xmlns:r="http://schemas.openxmlformats.org/officeDocument/2006/relationships" ref="D11" display="Artifact" r:id="rId9"/>
    <hyperlink xmlns:r="http://schemas.openxmlformats.org/officeDocument/2006/relationships" ref="D12" display="Artifact" r:id="rId10"/>
    <hyperlink xmlns:r="http://schemas.openxmlformats.org/officeDocument/2006/relationships" ref="D13" display="Artifact" r:id="rId11"/>
    <hyperlink xmlns:r="http://schemas.openxmlformats.org/officeDocument/2006/relationships" ref="D20" display="Vercel" r:id="rId12"/>
    <hyperlink xmlns:r="http://schemas.openxmlformats.org/officeDocument/2006/relationships" ref="D21" display="GitHub" r:id="rId13"/>
    <hyperlink xmlns:r="http://schemas.openxmlformats.org/officeDocument/2006/relationships" ref="D22" display="GitHub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2026-09-22T05:51:00Z</dcterms:created>
  <dcterms:modified xmlns:dcterms="http://purl.org/dc/terms/" xmlns:xsi="http://www.w3.org/2001/XMLSchema-instance" xsi:type="dcterms:W3CDTF">2026-09-30T07:18:01Z</dcterms:modified>
  <cp:lastModifiedBy>Guna Sekhar Madarapu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42E71E3A536F435481690512F4B2083A_12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